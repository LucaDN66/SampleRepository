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terinadenardi\Documents\Algo gaming tool\"/>
    </mc:Choice>
  </mc:AlternateContent>
  <xr:revisionPtr revIDLastSave="0" documentId="13_ncr:1_{FF792419-6E71-420D-A26F-7ED7CEEED00A}" xr6:coauthVersionLast="47" xr6:coauthVersionMax="47" xr10:uidLastSave="{00000000-0000-0000-0000-000000000000}"/>
  <bookViews>
    <workbookView xWindow="-98" yWindow="-98" windowWidth="19396" windowHeight="10276" xr2:uid="{EF46E2AB-3ECD-4643-853C-D0931357E85E}"/>
  </bookViews>
  <sheets>
    <sheet name="Analysis" sheetId="8" r:id="rId1"/>
    <sheet name="Baseline" sheetId="1" r:id="rId2"/>
    <sheet name="Gamed Scenario 1" sheetId="2" r:id="rId3"/>
    <sheet name="Gamed Scenario 2" sheetId="9" r:id="rId4"/>
    <sheet name="Gamed Scenario 3" sheetId="10" r:id="rId5"/>
    <sheet name="Gamed Scenario 4" sheetId="11" r:id="rId6"/>
    <sheet name="Gamed Scenario 5" sheetId="12" r:id="rId7"/>
    <sheet name="App-Click Conversion by Rank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3" i="2" l="1"/>
  <c r="E283" i="2"/>
  <c r="F283" i="2" s="1"/>
  <c r="G283" i="2" s="1"/>
  <c r="H283" i="2" s="1"/>
  <c r="I283" i="2"/>
  <c r="D284" i="2"/>
  <c r="E284" i="2"/>
  <c r="F284" i="2" s="1"/>
  <c r="G284" i="2" s="1"/>
  <c r="H284" i="2" s="1"/>
  <c r="I284" i="2"/>
  <c r="D285" i="2"/>
  <c r="E285" i="2"/>
  <c r="F285" i="2"/>
  <c r="G285" i="2"/>
  <c r="H285" i="2" s="1"/>
  <c r="I285" i="2"/>
  <c r="D286" i="2"/>
  <c r="E286" i="2"/>
  <c r="F286" i="2" s="1"/>
  <c r="G286" i="2" s="1"/>
  <c r="H286" i="2" s="1"/>
  <c r="I286" i="2"/>
  <c r="D287" i="2"/>
  <c r="E287" i="2"/>
  <c r="F287" i="2"/>
  <c r="G287" i="2" s="1"/>
  <c r="H287" i="2" s="1"/>
  <c r="I287" i="2"/>
  <c r="D288" i="2"/>
  <c r="E288" i="2"/>
  <c r="F288" i="2" s="1"/>
  <c r="G288" i="2" s="1"/>
  <c r="H288" i="2" s="1"/>
  <c r="I288" i="2"/>
  <c r="D289" i="2"/>
  <c r="E289" i="2"/>
  <c r="F289" i="2"/>
  <c r="G289" i="2"/>
  <c r="H289" i="2" s="1"/>
  <c r="I289" i="2"/>
  <c r="D290" i="2"/>
  <c r="E290" i="2"/>
  <c r="F290" i="2" s="1"/>
  <c r="G290" i="2" s="1"/>
  <c r="H290" i="2" s="1"/>
  <c r="I290" i="2"/>
  <c r="D291" i="2"/>
  <c r="E291" i="2"/>
  <c r="F291" i="2"/>
  <c r="G291" i="2" s="1"/>
  <c r="H291" i="2" s="1"/>
  <c r="I291" i="2"/>
  <c r="D292" i="2"/>
  <c r="E292" i="2"/>
  <c r="F292" i="2" s="1"/>
  <c r="G292" i="2" s="1"/>
  <c r="H292" i="2" s="1"/>
  <c r="I292" i="2"/>
  <c r="D293" i="2"/>
  <c r="E293" i="2"/>
  <c r="F293" i="2"/>
  <c r="G293" i="2"/>
  <c r="H293" i="2" s="1"/>
  <c r="I293" i="2"/>
  <c r="D294" i="2"/>
  <c r="E294" i="2"/>
  <c r="F294" i="2" s="1"/>
  <c r="G294" i="2" s="1"/>
  <c r="H294" i="2" s="1"/>
  <c r="I294" i="2"/>
  <c r="D295" i="2"/>
  <c r="E295" i="2"/>
  <c r="F295" i="2"/>
  <c r="G295" i="2" s="1"/>
  <c r="H295" i="2" s="1"/>
  <c r="I295" i="2"/>
  <c r="D296" i="2"/>
  <c r="E296" i="2"/>
  <c r="F296" i="2" s="1"/>
  <c r="G296" i="2" s="1"/>
  <c r="H296" i="2" s="1"/>
  <c r="I296" i="2"/>
  <c r="D297" i="2"/>
  <c r="E297" i="2"/>
  <c r="F297" i="2"/>
  <c r="G297" i="2"/>
  <c r="H297" i="2" s="1"/>
  <c r="I297" i="2"/>
  <c r="D298" i="2"/>
  <c r="E298" i="2"/>
  <c r="F298" i="2" s="1"/>
  <c r="G298" i="2" s="1"/>
  <c r="H298" i="2" s="1"/>
  <c r="I298" i="2"/>
  <c r="D299" i="2"/>
  <c r="E299" i="2"/>
  <c r="F299" i="2"/>
  <c r="G299" i="2" s="1"/>
  <c r="H299" i="2" s="1"/>
  <c r="I299" i="2"/>
  <c r="D300" i="2"/>
  <c r="E300" i="2"/>
  <c r="F300" i="2" s="1"/>
  <c r="G300" i="2" s="1"/>
  <c r="H300" i="2" s="1"/>
  <c r="I300" i="2"/>
  <c r="D301" i="2"/>
  <c r="E301" i="2"/>
  <c r="F301" i="2"/>
  <c r="G301" i="2"/>
  <c r="H301" i="2" s="1"/>
  <c r="I301" i="2"/>
  <c r="D302" i="2"/>
  <c r="E302" i="2"/>
  <c r="F302" i="2" s="1"/>
  <c r="G302" i="2" s="1"/>
  <c r="H302" i="2" s="1"/>
  <c r="I302" i="2"/>
  <c r="D316" i="1"/>
  <c r="E316" i="1"/>
  <c r="I316" i="1"/>
  <c r="D317" i="1"/>
  <c r="E317" i="1"/>
  <c r="F317" i="1" s="1"/>
  <c r="G317" i="1" s="1"/>
  <c r="H317" i="1" s="1"/>
  <c r="I317" i="1"/>
  <c r="D318" i="1"/>
  <c r="E318" i="1"/>
  <c r="I318" i="1"/>
  <c r="D319" i="1"/>
  <c r="E319" i="1"/>
  <c r="I319" i="1"/>
  <c r="D320" i="1"/>
  <c r="E320" i="1"/>
  <c r="I320" i="1"/>
  <c r="D321" i="1"/>
  <c r="E321" i="1"/>
  <c r="I321" i="1"/>
  <c r="D322" i="1"/>
  <c r="E322" i="1"/>
  <c r="I322" i="1"/>
  <c r="D323" i="1"/>
  <c r="F323" i="1" s="1"/>
  <c r="G323" i="1" s="1"/>
  <c r="H323" i="1" s="1"/>
  <c r="E323" i="1"/>
  <c r="I323" i="1"/>
  <c r="D324" i="1"/>
  <c r="F324" i="1" s="1"/>
  <c r="G324" i="1" s="1"/>
  <c r="H324" i="1" s="1"/>
  <c r="E324" i="1"/>
  <c r="I324" i="1"/>
  <c r="D325" i="1"/>
  <c r="E325" i="1"/>
  <c r="F325" i="1" s="1"/>
  <c r="G325" i="1" s="1"/>
  <c r="H325" i="1" s="1"/>
  <c r="I325" i="1"/>
  <c r="D326" i="1"/>
  <c r="E326" i="1"/>
  <c r="I326" i="1"/>
  <c r="D327" i="1"/>
  <c r="F327" i="1" s="1"/>
  <c r="G327" i="1" s="1"/>
  <c r="H327" i="1" s="1"/>
  <c r="E327" i="1"/>
  <c r="I327" i="1"/>
  <c r="D328" i="1"/>
  <c r="F328" i="1" s="1"/>
  <c r="G328" i="1" s="1"/>
  <c r="H328" i="1" s="1"/>
  <c r="E328" i="1"/>
  <c r="I328" i="1"/>
  <c r="D329" i="1"/>
  <c r="E329" i="1"/>
  <c r="I329" i="1"/>
  <c r="D330" i="1"/>
  <c r="E330" i="1"/>
  <c r="I330" i="1"/>
  <c r="D331" i="1"/>
  <c r="E331" i="1"/>
  <c r="I331" i="1"/>
  <c r="D332" i="1"/>
  <c r="E332" i="1"/>
  <c r="I332" i="1"/>
  <c r="D333" i="1"/>
  <c r="E333" i="1"/>
  <c r="F333" i="1" s="1"/>
  <c r="G333" i="1" s="1"/>
  <c r="H333" i="1" s="1"/>
  <c r="I333" i="1"/>
  <c r="D334" i="1"/>
  <c r="E334" i="1"/>
  <c r="I334" i="1"/>
  <c r="D335" i="1"/>
  <c r="F335" i="1" s="1"/>
  <c r="G335" i="1" s="1"/>
  <c r="H335" i="1" s="1"/>
  <c r="E335" i="1"/>
  <c r="I335" i="1"/>
  <c r="D336" i="1"/>
  <c r="F336" i="1" s="1"/>
  <c r="G336" i="1" s="1"/>
  <c r="H336" i="1" s="1"/>
  <c r="E336" i="1"/>
  <c r="I336" i="1"/>
  <c r="D337" i="1"/>
  <c r="E337" i="1"/>
  <c r="I337" i="1"/>
  <c r="D307" i="1"/>
  <c r="E307" i="1"/>
  <c r="I307" i="1"/>
  <c r="D308" i="1"/>
  <c r="E308" i="1"/>
  <c r="I308" i="1"/>
  <c r="D309" i="1"/>
  <c r="E309" i="1"/>
  <c r="I309" i="1"/>
  <c r="D310" i="1"/>
  <c r="E310" i="1"/>
  <c r="I310" i="1"/>
  <c r="D311" i="1"/>
  <c r="E311" i="1"/>
  <c r="I311" i="1"/>
  <c r="D312" i="1"/>
  <c r="E312" i="1"/>
  <c r="I312" i="1"/>
  <c r="D313" i="1"/>
  <c r="E313" i="1"/>
  <c r="I313" i="1"/>
  <c r="D314" i="1"/>
  <c r="E314" i="1"/>
  <c r="I314" i="1"/>
  <c r="D315" i="1"/>
  <c r="E315" i="1"/>
  <c r="I315" i="1"/>
  <c r="D275" i="2"/>
  <c r="E275" i="2"/>
  <c r="I275" i="2"/>
  <c r="D276" i="2"/>
  <c r="E276" i="2"/>
  <c r="I276" i="2"/>
  <c r="D277" i="2"/>
  <c r="E277" i="2"/>
  <c r="I277" i="2"/>
  <c r="D278" i="2"/>
  <c r="E278" i="2"/>
  <c r="I278" i="2"/>
  <c r="D279" i="2"/>
  <c r="E279" i="2"/>
  <c r="I279" i="2"/>
  <c r="D280" i="2"/>
  <c r="E280" i="2"/>
  <c r="I280" i="2"/>
  <c r="D281" i="2"/>
  <c r="E281" i="2"/>
  <c r="I281" i="2"/>
  <c r="D282" i="2"/>
  <c r="E282" i="2"/>
  <c r="I282" i="2"/>
  <c r="I282" i="12"/>
  <c r="E282" i="12"/>
  <c r="D282" i="12"/>
  <c r="I281" i="12"/>
  <c r="E281" i="12"/>
  <c r="D281" i="12"/>
  <c r="I280" i="12"/>
  <c r="E280" i="12"/>
  <c r="D280" i="12"/>
  <c r="I279" i="12"/>
  <c r="E279" i="12"/>
  <c r="D279" i="12"/>
  <c r="I278" i="12"/>
  <c r="E278" i="12"/>
  <c r="D278" i="12"/>
  <c r="I277" i="12"/>
  <c r="E277" i="12"/>
  <c r="D277" i="12"/>
  <c r="I276" i="12"/>
  <c r="E276" i="12"/>
  <c r="D276" i="12"/>
  <c r="I275" i="12"/>
  <c r="E275" i="12"/>
  <c r="D275" i="12"/>
  <c r="I274" i="12"/>
  <c r="E274" i="12"/>
  <c r="D274" i="12"/>
  <c r="I273" i="12"/>
  <c r="E273" i="12"/>
  <c r="D273" i="12"/>
  <c r="I272" i="12"/>
  <c r="E272" i="12"/>
  <c r="D272" i="12"/>
  <c r="I271" i="12"/>
  <c r="E271" i="12"/>
  <c r="D271" i="12"/>
  <c r="I270" i="12"/>
  <c r="E270" i="12"/>
  <c r="D270" i="12"/>
  <c r="I269" i="12"/>
  <c r="E269" i="12"/>
  <c r="D269" i="12"/>
  <c r="I268" i="12"/>
  <c r="E268" i="12"/>
  <c r="D268" i="12"/>
  <c r="I267" i="12"/>
  <c r="E267" i="12"/>
  <c r="D267" i="12"/>
  <c r="I266" i="12"/>
  <c r="E266" i="12"/>
  <c r="D266" i="12"/>
  <c r="I265" i="12"/>
  <c r="E265" i="12"/>
  <c r="D265" i="12"/>
  <c r="I264" i="12"/>
  <c r="E264" i="12"/>
  <c r="D264" i="12"/>
  <c r="I263" i="12"/>
  <c r="E263" i="12"/>
  <c r="D263" i="12"/>
  <c r="I262" i="12"/>
  <c r="E262" i="12"/>
  <c r="D262" i="12"/>
  <c r="I261" i="12"/>
  <c r="E261" i="12"/>
  <c r="D261" i="12"/>
  <c r="I260" i="12"/>
  <c r="E260" i="12"/>
  <c r="D260" i="12"/>
  <c r="I259" i="12"/>
  <c r="E259" i="12"/>
  <c r="D259" i="12"/>
  <c r="I258" i="12"/>
  <c r="E258" i="12"/>
  <c r="D258" i="12"/>
  <c r="I257" i="12"/>
  <c r="E257" i="12"/>
  <c r="D257" i="12"/>
  <c r="I256" i="12"/>
  <c r="E256" i="12"/>
  <c r="D256" i="12"/>
  <c r="I255" i="12"/>
  <c r="E255" i="12"/>
  <c r="D255" i="12"/>
  <c r="I254" i="12"/>
  <c r="E254" i="12"/>
  <c r="D254" i="12"/>
  <c r="I253" i="12"/>
  <c r="E253" i="12"/>
  <c r="D253" i="12"/>
  <c r="I252" i="12"/>
  <c r="E252" i="12"/>
  <c r="D252" i="12"/>
  <c r="I251" i="12"/>
  <c r="E251" i="12"/>
  <c r="D251" i="12"/>
  <c r="I250" i="12"/>
  <c r="E250" i="12"/>
  <c r="D250" i="12"/>
  <c r="I249" i="12"/>
  <c r="E249" i="12"/>
  <c r="D249" i="12"/>
  <c r="I248" i="12"/>
  <c r="E248" i="12"/>
  <c r="D248" i="12"/>
  <c r="I247" i="12"/>
  <c r="E247" i="12"/>
  <c r="D247" i="12"/>
  <c r="I246" i="12"/>
  <c r="E246" i="12"/>
  <c r="D246" i="12"/>
  <c r="I245" i="12"/>
  <c r="E245" i="12"/>
  <c r="D245" i="12"/>
  <c r="I244" i="12"/>
  <c r="E244" i="12"/>
  <c r="D244" i="12"/>
  <c r="I243" i="12"/>
  <c r="E243" i="12"/>
  <c r="D243" i="12"/>
  <c r="I242" i="12"/>
  <c r="E242" i="12"/>
  <c r="D242" i="12"/>
  <c r="I241" i="12"/>
  <c r="E241" i="12"/>
  <c r="D241" i="12"/>
  <c r="I240" i="12"/>
  <c r="E240" i="12"/>
  <c r="D240" i="12"/>
  <c r="I239" i="12"/>
  <c r="E239" i="12"/>
  <c r="D239" i="12"/>
  <c r="I238" i="12"/>
  <c r="E238" i="12"/>
  <c r="D238" i="12"/>
  <c r="I237" i="12"/>
  <c r="E237" i="12"/>
  <c r="D237" i="12"/>
  <c r="I236" i="12"/>
  <c r="E236" i="12"/>
  <c r="D236" i="12"/>
  <c r="I235" i="12"/>
  <c r="E235" i="12"/>
  <c r="D235" i="12"/>
  <c r="I234" i="12"/>
  <c r="E234" i="12"/>
  <c r="D234" i="12"/>
  <c r="I233" i="12"/>
  <c r="E233" i="12"/>
  <c r="D233" i="12"/>
  <c r="I232" i="12"/>
  <c r="E232" i="12"/>
  <c r="D232" i="12"/>
  <c r="I231" i="12"/>
  <c r="E231" i="12"/>
  <c r="D231" i="12"/>
  <c r="I230" i="12"/>
  <c r="E230" i="12"/>
  <c r="D230" i="12"/>
  <c r="I229" i="12"/>
  <c r="E229" i="12"/>
  <c r="D229" i="12"/>
  <c r="I228" i="12"/>
  <c r="E228" i="12"/>
  <c r="D228" i="12"/>
  <c r="I227" i="12"/>
  <c r="E227" i="12"/>
  <c r="D227" i="12"/>
  <c r="I226" i="12"/>
  <c r="E226" i="12"/>
  <c r="D226" i="12"/>
  <c r="I225" i="12"/>
  <c r="E225" i="12"/>
  <c r="D225" i="12"/>
  <c r="I224" i="12"/>
  <c r="E224" i="12"/>
  <c r="D224" i="12"/>
  <c r="I223" i="12"/>
  <c r="E223" i="12"/>
  <c r="D223" i="12"/>
  <c r="I222" i="12"/>
  <c r="E222" i="12"/>
  <c r="D222" i="12"/>
  <c r="I221" i="12"/>
  <c r="E221" i="12"/>
  <c r="D221" i="12"/>
  <c r="I220" i="12"/>
  <c r="E220" i="12"/>
  <c r="D220" i="12"/>
  <c r="I219" i="12"/>
  <c r="E219" i="12"/>
  <c r="D219" i="12"/>
  <c r="I218" i="12"/>
  <c r="E218" i="12"/>
  <c r="D218" i="12"/>
  <c r="I217" i="12"/>
  <c r="E217" i="12"/>
  <c r="D217" i="12"/>
  <c r="I216" i="12"/>
  <c r="E216" i="12"/>
  <c r="D216" i="12"/>
  <c r="I215" i="12"/>
  <c r="E215" i="12"/>
  <c r="D215" i="12"/>
  <c r="I214" i="12"/>
  <c r="E214" i="12"/>
  <c r="D214" i="12"/>
  <c r="I213" i="12"/>
  <c r="E213" i="12"/>
  <c r="D213" i="12"/>
  <c r="I212" i="12"/>
  <c r="E212" i="12"/>
  <c r="D212" i="12"/>
  <c r="I211" i="12"/>
  <c r="E211" i="12"/>
  <c r="D211" i="12"/>
  <c r="I210" i="12"/>
  <c r="E210" i="12"/>
  <c r="D210" i="12"/>
  <c r="I209" i="12"/>
  <c r="E209" i="12"/>
  <c r="D209" i="12"/>
  <c r="I208" i="12"/>
  <c r="E208" i="12"/>
  <c r="D208" i="12"/>
  <c r="I207" i="12"/>
  <c r="E207" i="12"/>
  <c r="D207" i="12"/>
  <c r="I206" i="12"/>
  <c r="E206" i="12"/>
  <c r="D206" i="12"/>
  <c r="I205" i="12"/>
  <c r="E205" i="12"/>
  <c r="D205" i="12"/>
  <c r="I204" i="12"/>
  <c r="E204" i="12"/>
  <c r="D204" i="12"/>
  <c r="I203" i="12"/>
  <c r="E203" i="12"/>
  <c r="D203" i="12"/>
  <c r="I202" i="12"/>
  <c r="E202" i="12"/>
  <c r="D202" i="12"/>
  <c r="I201" i="12"/>
  <c r="E201" i="12"/>
  <c r="D201" i="12"/>
  <c r="I200" i="12"/>
  <c r="E200" i="12"/>
  <c r="D200" i="12"/>
  <c r="I199" i="12"/>
  <c r="E199" i="12"/>
  <c r="D199" i="12"/>
  <c r="I198" i="12"/>
  <c r="E198" i="12"/>
  <c r="D198" i="12"/>
  <c r="I197" i="12"/>
  <c r="E197" i="12"/>
  <c r="D197" i="12"/>
  <c r="I196" i="12"/>
  <c r="E196" i="12"/>
  <c r="D196" i="12"/>
  <c r="I195" i="12"/>
  <c r="E195" i="12"/>
  <c r="D195" i="12"/>
  <c r="I194" i="12"/>
  <c r="E194" i="12"/>
  <c r="D194" i="12"/>
  <c r="I193" i="12"/>
  <c r="E193" i="12"/>
  <c r="D193" i="12"/>
  <c r="I192" i="12"/>
  <c r="E192" i="12"/>
  <c r="D192" i="12"/>
  <c r="I191" i="12"/>
  <c r="E191" i="12"/>
  <c r="D191" i="12"/>
  <c r="I190" i="12"/>
  <c r="E190" i="12"/>
  <c r="D190" i="12"/>
  <c r="I189" i="12"/>
  <c r="E189" i="12"/>
  <c r="D189" i="12"/>
  <c r="I188" i="12"/>
  <c r="E188" i="12"/>
  <c r="D188" i="12"/>
  <c r="I187" i="12"/>
  <c r="E187" i="12"/>
  <c r="D187" i="12"/>
  <c r="I186" i="12"/>
  <c r="E186" i="12"/>
  <c r="D186" i="12"/>
  <c r="I185" i="12"/>
  <c r="E185" i="12"/>
  <c r="D185" i="12"/>
  <c r="I184" i="12"/>
  <c r="E184" i="12"/>
  <c r="D184" i="12"/>
  <c r="I183" i="12"/>
  <c r="E183" i="12"/>
  <c r="D183" i="12"/>
  <c r="I182" i="12"/>
  <c r="E182" i="12"/>
  <c r="D182" i="12"/>
  <c r="I181" i="12"/>
  <c r="E181" i="12"/>
  <c r="D181" i="12"/>
  <c r="I180" i="12"/>
  <c r="E180" i="12"/>
  <c r="D180" i="12"/>
  <c r="I179" i="12"/>
  <c r="E179" i="12"/>
  <c r="D179" i="12"/>
  <c r="I178" i="12"/>
  <c r="E178" i="12"/>
  <c r="D178" i="12"/>
  <c r="I177" i="12"/>
  <c r="E177" i="12"/>
  <c r="D177" i="12"/>
  <c r="I176" i="12"/>
  <c r="E176" i="12"/>
  <c r="D176" i="12"/>
  <c r="I175" i="12"/>
  <c r="E175" i="12"/>
  <c r="D175" i="12"/>
  <c r="I174" i="12"/>
  <c r="E174" i="12"/>
  <c r="D174" i="12"/>
  <c r="I173" i="12"/>
  <c r="E173" i="12"/>
  <c r="D173" i="12"/>
  <c r="I172" i="12"/>
  <c r="E172" i="12"/>
  <c r="D172" i="12"/>
  <c r="I171" i="12"/>
  <c r="E171" i="12"/>
  <c r="D171" i="12"/>
  <c r="I170" i="12"/>
  <c r="E170" i="12"/>
  <c r="D170" i="12"/>
  <c r="I169" i="12"/>
  <c r="E169" i="12"/>
  <c r="D169" i="12"/>
  <c r="I168" i="12"/>
  <c r="E168" i="12"/>
  <c r="D168" i="12"/>
  <c r="I167" i="12"/>
  <c r="E167" i="12"/>
  <c r="D167" i="12"/>
  <c r="I166" i="12"/>
  <c r="E166" i="12"/>
  <c r="D166" i="12"/>
  <c r="I165" i="12"/>
  <c r="E165" i="12"/>
  <c r="D165" i="12"/>
  <c r="I164" i="12"/>
  <c r="E164" i="12"/>
  <c r="D164" i="12"/>
  <c r="I163" i="12"/>
  <c r="E163" i="12"/>
  <c r="D163" i="12"/>
  <c r="I162" i="12"/>
  <c r="E162" i="12"/>
  <c r="D162" i="12"/>
  <c r="I161" i="12"/>
  <c r="E161" i="12"/>
  <c r="D161" i="12"/>
  <c r="I160" i="12"/>
  <c r="E160" i="12"/>
  <c r="D160" i="12"/>
  <c r="I159" i="12"/>
  <c r="E159" i="12"/>
  <c r="D159" i="12"/>
  <c r="I158" i="12"/>
  <c r="E158" i="12"/>
  <c r="D158" i="12"/>
  <c r="I157" i="12"/>
  <c r="E157" i="12"/>
  <c r="D157" i="12"/>
  <c r="I156" i="12"/>
  <c r="E156" i="12"/>
  <c r="D156" i="12"/>
  <c r="I155" i="12"/>
  <c r="E155" i="12"/>
  <c r="D155" i="12"/>
  <c r="I154" i="12"/>
  <c r="E154" i="12"/>
  <c r="D154" i="12"/>
  <c r="I153" i="12"/>
  <c r="E153" i="12"/>
  <c r="D153" i="12"/>
  <c r="I152" i="12"/>
  <c r="E152" i="12"/>
  <c r="D152" i="12"/>
  <c r="I151" i="12"/>
  <c r="E151" i="12"/>
  <c r="D151" i="12"/>
  <c r="I150" i="12"/>
  <c r="E150" i="12"/>
  <c r="D150" i="12"/>
  <c r="I149" i="12"/>
  <c r="E149" i="12"/>
  <c r="D149" i="12"/>
  <c r="I148" i="12"/>
  <c r="E148" i="12"/>
  <c r="D148" i="12"/>
  <c r="I147" i="12"/>
  <c r="E147" i="12"/>
  <c r="D147" i="12"/>
  <c r="I146" i="12"/>
  <c r="E146" i="12"/>
  <c r="D146" i="12"/>
  <c r="I145" i="12"/>
  <c r="E145" i="12"/>
  <c r="D145" i="12"/>
  <c r="I144" i="12"/>
  <c r="E144" i="12"/>
  <c r="D144" i="12"/>
  <c r="I143" i="12"/>
  <c r="E143" i="12"/>
  <c r="D143" i="12"/>
  <c r="I142" i="12"/>
  <c r="E142" i="12"/>
  <c r="D142" i="12"/>
  <c r="I141" i="12"/>
  <c r="E141" i="12"/>
  <c r="D141" i="12"/>
  <c r="I140" i="12"/>
  <c r="E140" i="12"/>
  <c r="D140" i="12"/>
  <c r="I139" i="12"/>
  <c r="E139" i="12"/>
  <c r="D139" i="12"/>
  <c r="I138" i="12"/>
  <c r="E138" i="12"/>
  <c r="D138" i="12"/>
  <c r="I137" i="12"/>
  <c r="E137" i="12"/>
  <c r="D137" i="12"/>
  <c r="I136" i="12"/>
  <c r="E136" i="12"/>
  <c r="D136" i="12"/>
  <c r="I135" i="12"/>
  <c r="E135" i="12"/>
  <c r="D135" i="12"/>
  <c r="I134" i="12"/>
  <c r="E134" i="12"/>
  <c r="D134" i="12"/>
  <c r="I133" i="12"/>
  <c r="E133" i="12"/>
  <c r="D133" i="12"/>
  <c r="I132" i="12"/>
  <c r="E132" i="12"/>
  <c r="D132" i="12"/>
  <c r="I131" i="12"/>
  <c r="E131" i="12"/>
  <c r="D131" i="12"/>
  <c r="I130" i="12"/>
  <c r="E130" i="12"/>
  <c r="D130" i="12"/>
  <c r="I129" i="12"/>
  <c r="E129" i="12"/>
  <c r="D129" i="12"/>
  <c r="I128" i="12"/>
  <c r="E128" i="12"/>
  <c r="D128" i="12"/>
  <c r="I127" i="12"/>
  <c r="E127" i="12"/>
  <c r="D127" i="12"/>
  <c r="I126" i="12"/>
  <c r="E126" i="12"/>
  <c r="D126" i="12"/>
  <c r="I125" i="12"/>
  <c r="E125" i="12"/>
  <c r="D125" i="12"/>
  <c r="I124" i="12"/>
  <c r="E124" i="12"/>
  <c r="D124" i="12"/>
  <c r="I123" i="12"/>
  <c r="E123" i="12"/>
  <c r="D123" i="12"/>
  <c r="I122" i="12"/>
  <c r="E122" i="12"/>
  <c r="D122" i="12"/>
  <c r="I121" i="12"/>
  <c r="E121" i="12"/>
  <c r="D121" i="12"/>
  <c r="I120" i="12"/>
  <c r="E120" i="12"/>
  <c r="D120" i="12"/>
  <c r="I119" i="12"/>
  <c r="E119" i="12"/>
  <c r="D119" i="12"/>
  <c r="I118" i="12"/>
  <c r="E118" i="12"/>
  <c r="D118" i="12"/>
  <c r="I117" i="12"/>
  <c r="E117" i="12"/>
  <c r="D117" i="12"/>
  <c r="I116" i="12"/>
  <c r="E116" i="12"/>
  <c r="D116" i="12"/>
  <c r="I115" i="12"/>
  <c r="E115" i="12"/>
  <c r="D115" i="12"/>
  <c r="I114" i="12"/>
  <c r="E114" i="12"/>
  <c r="D114" i="12"/>
  <c r="I113" i="12"/>
  <c r="E113" i="12"/>
  <c r="D113" i="12"/>
  <c r="I112" i="12"/>
  <c r="E112" i="12"/>
  <c r="D112" i="12"/>
  <c r="I111" i="12"/>
  <c r="E111" i="12"/>
  <c r="D111" i="12"/>
  <c r="I110" i="12"/>
  <c r="E110" i="12"/>
  <c r="D110" i="12"/>
  <c r="I109" i="12"/>
  <c r="E109" i="12"/>
  <c r="D109" i="12"/>
  <c r="I108" i="12"/>
  <c r="E108" i="12"/>
  <c r="D108" i="12"/>
  <c r="I107" i="12"/>
  <c r="E107" i="12"/>
  <c r="D107" i="12"/>
  <c r="I106" i="12"/>
  <c r="E106" i="12"/>
  <c r="D106" i="12"/>
  <c r="I105" i="12"/>
  <c r="E105" i="12"/>
  <c r="D105" i="12"/>
  <c r="I104" i="12"/>
  <c r="E104" i="12"/>
  <c r="D104" i="12"/>
  <c r="I103" i="12"/>
  <c r="E103" i="12"/>
  <c r="D103" i="12"/>
  <c r="I102" i="12"/>
  <c r="E102" i="12"/>
  <c r="D102" i="12"/>
  <c r="I101" i="12"/>
  <c r="E101" i="12"/>
  <c r="D101" i="12"/>
  <c r="I100" i="12"/>
  <c r="E100" i="12"/>
  <c r="D100" i="12"/>
  <c r="I99" i="12"/>
  <c r="E99" i="12"/>
  <c r="D99" i="12"/>
  <c r="I98" i="12"/>
  <c r="E98" i="12"/>
  <c r="D98" i="12"/>
  <c r="I97" i="12"/>
  <c r="E97" i="12"/>
  <c r="D97" i="12"/>
  <c r="I96" i="12"/>
  <c r="E96" i="12"/>
  <c r="D96" i="12"/>
  <c r="I95" i="12"/>
  <c r="E95" i="12"/>
  <c r="D95" i="12"/>
  <c r="I94" i="12"/>
  <c r="E94" i="12"/>
  <c r="D94" i="12"/>
  <c r="I93" i="12"/>
  <c r="E93" i="12"/>
  <c r="D93" i="12"/>
  <c r="I92" i="12"/>
  <c r="E92" i="12"/>
  <c r="D92" i="12"/>
  <c r="I91" i="12"/>
  <c r="E91" i="12"/>
  <c r="D91" i="12"/>
  <c r="I90" i="12"/>
  <c r="E90" i="12"/>
  <c r="D90" i="12"/>
  <c r="I89" i="12"/>
  <c r="E89" i="12"/>
  <c r="D89" i="12"/>
  <c r="I88" i="12"/>
  <c r="E88" i="12"/>
  <c r="D88" i="12"/>
  <c r="I87" i="12"/>
  <c r="E87" i="12"/>
  <c r="D87" i="12"/>
  <c r="I86" i="12"/>
  <c r="E86" i="12"/>
  <c r="D86" i="12"/>
  <c r="I85" i="12"/>
  <c r="E85" i="12"/>
  <c r="D85" i="12"/>
  <c r="I84" i="12"/>
  <c r="E84" i="12"/>
  <c r="D84" i="12"/>
  <c r="I83" i="12"/>
  <c r="E83" i="12"/>
  <c r="D83" i="12"/>
  <c r="I82" i="12"/>
  <c r="E82" i="12"/>
  <c r="D82" i="12"/>
  <c r="I81" i="12"/>
  <c r="E81" i="12"/>
  <c r="D81" i="12"/>
  <c r="I80" i="12"/>
  <c r="E80" i="12"/>
  <c r="D80" i="12"/>
  <c r="I79" i="12"/>
  <c r="E79" i="12"/>
  <c r="D79" i="12"/>
  <c r="I78" i="12"/>
  <c r="E78" i="12"/>
  <c r="D78" i="12"/>
  <c r="I77" i="12"/>
  <c r="E77" i="12"/>
  <c r="D77" i="12"/>
  <c r="I76" i="12"/>
  <c r="E76" i="12"/>
  <c r="D76" i="12"/>
  <c r="I75" i="12"/>
  <c r="E75" i="12"/>
  <c r="D75" i="12"/>
  <c r="I74" i="12"/>
  <c r="E74" i="12"/>
  <c r="D74" i="12"/>
  <c r="I73" i="12"/>
  <c r="E73" i="12"/>
  <c r="D73" i="12"/>
  <c r="I72" i="12"/>
  <c r="E72" i="12"/>
  <c r="D72" i="12"/>
  <c r="I71" i="12"/>
  <c r="E71" i="12"/>
  <c r="D71" i="12"/>
  <c r="I70" i="12"/>
  <c r="E70" i="12"/>
  <c r="D70" i="12"/>
  <c r="I69" i="12"/>
  <c r="E69" i="12"/>
  <c r="D69" i="12"/>
  <c r="I68" i="12"/>
  <c r="E68" i="12"/>
  <c r="D68" i="12"/>
  <c r="I67" i="12"/>
  <c r="E67" i="12"/>
  <c r="D67" i="12"/>
  <c r="I66" i="12"/>
  <c r="E66" i="12"/>
  <c r="D66" i="12"/>
  <c r="I65" i="12"/>
  <c r="E65" i="12"/>
  <c r="D65" i="12"/>
  <c r="I64" i="12"/>
  <c r="E64" i="12"/>
  <c r="D64" i="12"/>
  <c r="I63" i="12"/>
  <c r="E63" i="12"/>
  <c r="D63" i="12"/>
  <c r="I62" i="12"/>
  <c r="E62" i="12"/>
  <c r="D62" i="12"/>
  <c r="I61" i="12"/>
  <c r="E61" i="12"/>
  <c r="D61" i="12"/>
  <c r="I60" i="12"/>
  <c r="E60" i="12"/>
  <c r="D60" i="12"/>
  <c r="I59" i="12"/>
  <c r="E59" i="12"/>
  <c r="D59" i="12"/>
  <c r="I58" i="12"/>
  <c r="E58" i="12"/>
  <c r="D58" i="12"/>
  <c r="I57" i="12"/>
  <c r="E57" i="12"/>
  <c r="D57" i="12"/>
  <c r="I56" i="12"/>
  <c r="E56" i="12"/>
  <c r="D56" i="12"/>
  <c r="I55" i="12"/>
  <c r="E55" i="12"/>
  <c r="D55" i="12"/>
  <c r="I54" i="12"/>
  <c r="E54" i="12"/>
  <c r="D54" i="12"/>
  <c r="I53" i="12"/>
  <c r="E53" i="12"/>
  <c r="D53" i="12"/>
  <c r="I52" i="12"/>
  <c r="E52" i="12"/>
  <c r="D52" i="12"/>
  <c r="I51" i="12"/>
  <c r="E51" i="12"/>
  <c r="D51" i="12"/>
  <c r="I50" i="12"/>
  <c r="E50" i="12"/>
  <c r="D50" i="12"/>
  <c r="I49" i="12"/>
  <c r="E49" i="12"/>
  <c r="D49" i="12"/>
  <c r="I48" i="12"/>
  <c r="E48" i="12"/>
  <c r="D48" i="12"/>
  <c r="I47" i="12"/>
  <c r="E47" i="12"/>
  <c r="D47" i="12"/>
  <c r="I46" i="12"/>
  <c r="E46" i="12"/>
  <c r="D46" i="12"/>
  <c r="I45" i="12"/>
  <c r="E45" i="12"/>
  <c r="D45" i="12"/>
  <c r="I44" i="12"/>
  <c r="E44" i="12"/>
  <c r="D44" i="12"/>
  <c r="I43" i="12"/>
  <c r="E43" i="12"/>
  <c r="D43" i="12"/>
  <c r="I42" i="12"/>
  <c r="E42" i="12"/>
  <c r="D42" i="12"/>
  <c r="I41" i="12"/>
  <c r="E41" i="12"/>
  <c r="D41" i="12"/>
  <c r="I40" i="12"/>
  <c r="E40" i="12"/>
  <c r="D40" i="12"/>
  <c r="I39" i="12"/>
  <c r="E39" i="12"/>
  <c r="D39" i="12"/>
  <c r="I38" i="12"/>
  <c r="E38" i="12"/>
  <c r="D38" i="12"/>
  <c r="I37" i="12"/>
  <c r="E37" i="12"/>
  <c r="D37" i="12"/>
  <c r="I36" i="12"/>
  <c r="E36" i="12"/>
  <c r="D36" i="12"/>
  <c r="I35" i="12"/>
  <c r="E35" i="12"/>
  <c r="D35" i="12"/>
  <c r="I34" i="12"/>
  <c r="E34" i="12"/>
  <c r="D34" i="12"/>
  <c r="I33" i="12"/>
  <c r="E33" i="12"/>
  <c r="D33" i="12"/>
  <c r="I32" i="12"/>
  <c r="E32" i="12"/>
  <c r="D32" i="12"/>
  <c r="I31" i="12"/>
  <c r="E31" i="12"/>
  <c r="D31" i="12"/>
  <c r="I30" i="12"/>
  <c r="E30" i="12"/>
  <c r="D30" i="12"/>
  <c r="I29" i="12"/>
  <c r="E29" i="12"/>
  <c r="D29" i="12"/>
  <c r="I28" i="12"/>
  <c r="E28" i="12"/>
  <c r="D28" i="12"/>
  <c r="I27" i="12"/>
  <c r="E27" i="12"/>
  <c r="D27" i="12"/>
  <c r="I26" i="12"/>
  <c r="E26" i="12"/>
  <c r="D26" i="12"/>
  <c r="I25" i="12"/>
  <c r="E25" i="12"/>
  <c r="D25" i="12"/>
  <c r="I24" i="12"/>
  <c r="E24" i="12"/>
  <c r="D24" i="12"/>
  <c r="I23" i="12"/>
  <c r="E23" i="12"/>
  <c r="D23" i="12"/>
  <c r="I22" i="12"/>
  <c r="E22" i="12"/>
  <c r="D22" i="12"/>
  <c r="I21" i="12"/>
  <c r="E21" i="12"/>
  <c r="D21" i="12"/>
  <c r="I20" i="12"/>
  <c r="E20" i="12"/>
  <c r="D20" i="12"/>
  <c r="I19" i="12"/>
  <c r="E19" i="12"/>
  <c r="D19" i="12"/>
  <c r="I18" i="12"/>
  <c r="E18" i="12"/>
  <c r="D18" i="12"/>
  <c r="I17" i="12"/>
  <c r="E17" i="12"/>
  <c r="D17" i="12"/>
  <c r="I16" i="12"/>
  <c r="E16" i="12"/>
  <c r="D16" i="12"/>
  <c r="I15" i="12"/>
  <c r="E15" i="12"/>
  <c r="D15" i="12"/>
  <c r="I14" i="12"/>
  <c r="E14" i="12"/>
  <c r="D14" i="12"/>
  <c r="I13" i="12"/>
  <c r="E13" i="12"/>
  <c r="D13" i="12"/>
  <c r="I12" i="12"/>
  <c r="E12" i="12"/>
  <c r="D12" i="12"/>
  <c r="I11" i="12"/>
  <c r="E11" i="12"/>
  <c r="D11" i="12"/>
  <c r="I10" i="12"/>
  <c r="E10" i="12"/>
  <c r="D10" i="12"/>
  <c r="I9" i="12"/>
  <c r="E9" i="12"/>
  <c r="D9" i="12"/>
  <c r="I8" i="12"/>
  <c r="E8" i="12"/>
  <c r="D8" i="12"/>
  <c r="I7" i="12"/>
  <c r="E7" i="12"/>
  <c r="D7" i="12"/>
  <c r="I6" i="12"/>
  <c r="E6" i="12"/>
  <c r="D6" i="12"/>
  <c r="I5" i="12"/>
  <c r="E5" i="12"/>
  <c r="D5" i="12"/>
  <c r="I4" i="12"/>
  <c r="E4" i="12"/>
  <c r="D4" i="12"/>
  <c r="I3" i="12"/>
  <c r="E3" i="12"/>
  <c r="D3" i="12"/>
  <c r="I2" i="12"/>
  <c r="C17" i="8" s="1"/>
  <c r="E2" i="12"/>
  <c r="D2" i="12"/>
  <c r="I282" i="11"/>
  <c r="E282" i="11"/>
  <c r="D282" i="11"/>
  <c r="I281" i="11"/>
  <c r="E281" i="11"/>
  <c r="D281" i="11"/>
  <c r="I280" i="11"/>
  <c r="E280" i="11"/>
  <c r="D280" i="11"/>
  <c r="I279" i="11"/>
  <c r="E279" i="11"/>
  <c r="D279" i="11"/>
  <c r="I278" i="11"/>
  <c r="E278" i="11"/>
  <c r="D278" i="11"/>
  <c r="I277" i="11"/>
  <c r="E277" i="11"/>
  <c r="D277" i="11"/>
  <c r="I276" i="11"/>
  <c r="E276" i="11"/>
  <c r="D276" i="11"/>
  <c r="I275" i="11"/>
  <c r="E275" i="11"/>
  <c r="D275" i="11"/>
  <c r="I274" i="11"/>
  <c r="E274" i="11"/>
  <c r="D274" i="11"/>
  <c r="I273" i="11"/>
  <c r="E273" i="11"/>
  <c r="D273" i="11"/>
  <c r="I272" i="11"/>
  <c r="E272" i="11"/>
  <c r="D272" i="11"/>
  <c r="I271" i="11"/>
  <c r="E271" i="11"/>
  <c r="D271" i="11"/>
  <c r="I270" i="11"/>
  <c r="E270" i="11"/>
  <c r="D270" i="11"/>
  <c r="I269" i="11"/>
  <c r="E269" i="11"/>
  <c r="D269" i="11"/>
  <c r="I268" i="11"/>
  <c r="E268" i="11"/>
  <c r="D268" i="11"/>
  <c r="I267" i="11"/>
  <c r="E267" i="11"/>
  <c r="D267" i="11"/>
  <c r="I266" i="11"/>
  <c r="E266" i="11"/>
  <c r="D266" i="11"/>
  <c r="I265" i="11"/>
  <c r="E265" i="11"/>
  <c r="D265" i="11"/>
  <c r="I264" i="11"/>
  <c r="E264" i="11"/>
  <c r="D264" i="11"/>
  <c r="I263" i="11"/>
  <c r="E263" i="11"/>
  <c r="D263" i="11"/>
  <c r="I262" i="11"/>
  <c r="E262" i="11"/>
  <c r="D262" i="11"/>
  <c r="I261" i="11"/>
  <c r="E261" i="11"/>
  <c r="D261" i="11"/>
  <c r="I260" i="11"/>
  <c r="E260" i="11"/>
  <c r="D260" i="11"/>
  <c r="I259" i="11"/>
  <c r="E259" i="11"/>
  <c r="D259" i="11"/>
  <c r="I258" i="11"/>
  <c r="E258" i="11"/>
  <c r="D258" i="11"/>
  <c r="I257" i="11"/>
  <c r="E257" i="11"/>
  <c r="D257" i="11"/>
  <c r="I256" i="11"/>
  <c r="E256" i="11"/>
  <c r="D256" i="11"/>
  <c r="I255" i="11"/>
  <c r="E255" i="11"/>
  <c r="D255" i="11"/>
  <c r="I254" i="11"/>
  <c r="E254" i="11"/>
  <c r="D254" i="11"/>
  <c r="I253" i="11"/>
  <c r="E253" i="11"/>
  <c r="D253" i="11"/>
  <c r="I252" i="11"/>
  <c r="E252" i="11"/>
  <c r="D252" i="11"/>
  <c r="I251" i="11"/>
  <c r="E251" i="11"/>
  <c r="D251" i="11"/>
  <c r="I250" i="11"/>
  <c r="E250" i="11"/>
  <c r="D250" i="11"/>
  <c r="I249" i="11"/>
  <c r="E249" i="11"/>
  <c r="D249" i="11"/>
  <c r="I248" i="11"/>
  <c r="E248" i="11"/>
  <c r="D248" i="11"/>
  <c r="I247" i="11"/>
  <c r="E247" i="11"/>
  <c r="D247" i="11"/>
  <c r="I246" i="11"/>
  <c r="E246" i="11"/>
  <c r="D246" i="11"/>
  <c r="I245" i="11"/>
  <c r="E245" i="11"/>
  <c r="D245" i="11"/>
  <c r="I244" i="11"/>
  <c r="E244" i="11"/>
  <c r="D244" i="11"/>
  <c r="I243" i="11"/>
  <c r="E243" i="11"/>
  <c r="D243" i="11"/>
  <c r="I242" i="11"/>
  <c r="E242" i="11"/>
  <c r="D242" i="11"/>
  <c r="I241" i="11"/>
  <c r="E241" i="11"/>
  <c r="D241" i="11"/>
  <c r="I240" i="11"/>
  <c r="E240" i="11"/>
  <c r="D240" i="11"/>
  <c r="I239" i="11"/>
  <c r="E239" i="11"/>
  <c r="D239" i="11"/>
  <c r="I238" i="11"/>
  <c r="E238" i="11"/>
  <c r="D238" i="11"/>
  <c r="I237" i="11"/>
  <c r="E237" i="11"/>
  <c r="D237" i="11"/>
  <c r="I236" i="11"/>
  <c r="E236" i="11"/>
  <c r="D236" i="11"/>
  <c r="I235" i="11"/>
  <c r="E235" i="11"/>
  <c r="D235" i="11"/>
  <c r="I234" i="11"/>
  <c r="E234" i="11"/>
  <c r="D234" i="11"/>
  <c r="I233" i="11"/>
  <c r="E233" i="11"/>
  <c r="D233" i="11"/>
  <c r="I232" i="11"/>
  <c r="E232" i="11"/>
  <c r="D232" i="11"/>
  <c r="I231" i="11"/>
  <c r="E231" i="11"/>
  <c r="D231" i="11"/>
  <c r="I230" i="11"/>
  <c r="E230" i="11"/>
  <c r="D230" i="11"/>
  <c r="I229" i="11"/>
  <c r="E229" i="11"/>
  <c r="D229" i="11"/>
  <c r="I228" i="11"/>
  <c r="E228" i="11"/>
  <c r="D228" i="11"/>
  <c r="I227" i="11"/>
  <c r="E227" i="11"/>
  <c r="D227" i="11"/>
  <c r="I226" i="11"/>
  <c r="E226" i="11"/>
  <c r="D226" i="11"/>
  <c r="I225" i="11"/>
  <c r="E225" i="11"/>
  <c r="D225" i="11"/>
  <c r="I224" i="11"/>
  <c r="E224" i="11"/>
  <c r="D224" i="11"/>
  <c r="I223" i="11"/>
  <c r="E223" i="11"/>
  <c r="D223" i="11"/>
  <c r="I222" i="11"/>
  <c r="E222" i="11"/>
  <c r="D222" i="11"/>
  <c r="I221" i="11"/>
  <c r="E221" i="11"/>
  <c r="D221" i="11"/>
  <c r="I220" i="11"/>
  <c r="E220" i="11"/>
  <c r="D220" i="11"/>
  <c r="I219" i="11"/>
  <c r="E219" i="11"/>
  <c r="D219" i="11"/>
  <c r="I218" i="11"/>
  <c r="E218" i="11"/>
  <c r="D218" i="11"/>
  <c r="I217" i="11"/>
  <c r="E217" i="11"/>
  <c r="D217" i="11"/>
  <c r="I216" i="11"/>
  <c r="E216" i="11"/>
  <c r="D216" i="11"/>
  <c r="I215" i="11"/>
  <c r="E215" i="11"/>
  <c r="D215" i="11"/>
  <c r="I214" i="11"/>
  <c r="E214" i="11"/>
  <c r="D214" i="11"/>
  <c r="I213" i="11"/>
  <c r="E213" i="11"/>
  <c r="D213" i="11"/>
  <c r="I212" i="11"/>
  <c r="E212" i="11"/>
  <c r="D212" i="11"/>
  <c r="I211" i="11"/>
  <c r="E211" i="11"/>
  <c r="D211" i="11"/>
  <c r="I210" i="11"/>
  <c r="E210" i="11"/>
  <c r="D210" i="11"/>
  <c r="I209" i="11"/>
  <c r="E209" i="11"/>
  <c r="D209" i="11"/>
  <c r="I208" i="11"/>
  <c r="E208" i="11"/>
  <c r="D208" i="11"/>
  <c r="I207" i="11"/>
  <c r="E207" i="11"/>
  <c r="D207" i="11"/>
  <c r="I206" i="11"/>
  <c r="E206" i="11"/>
  <c r="D206" i="11"/>
  <c r="I205" i="11"/>
  <c r="E205" i="11"/>
  <c r="D205" i="11"/>
  <c r="I204" i="11"/>
  <c r="E204" i="11"/>
  <c r="D204" i="11"/>
  <c r="I203" i="11"/>
  <c r="E203" i="11"/>
  <c r="D203" i="11"/>
  <c r="I202" i="11"/>
  <c r="E202" i="11"/>
  <c r="D202" i="11"/>
  <c r="I201" i="11"/>
  <c r="E201" i="11"/>
  <c r="D201" i="11"/>
  <c r="I200" i="11"/>
  <c r="E200" i="11"/>
  <c r="D200" i="11"/>
  <c r="I199" i="11"/>
  <c r="E199" i="11"/>
  <c r="D199" i="11"/>
  <c r="I198" i="11"/>
  <c r="E198" i="11"/>
  <c r="D198" i="11"/>
  <c r="I197" i="11"/>
  <c r="E197" i="11"/>
  <c r="D197" i="11"/>
  <c r="I196" i="11"/>
  <c r="E196" i="11"/>
  <c r="D196" i="11"/>
  <c r="I195" i="11"/>
  <c r="E195" i="11"/>
  <c r="D195" i="11"/>
  <c r="I194" i="11"/>
  <c r="E194" i="11"/>
  <c r="D194" i="11"/>
  <c r="I193" i="11"/>
  <c r="E193" i="11"/>
  <c r="D193" i="11"/>
  <c r="I192" i="11"/>
  <c r="E192" i="11"/>
  <c r="D192" i="11"/>
  <c r="I191" i="11"/>
  <c r="E191" i="11"/>
  <c r="D191" i="11"/>
  <c r="I190" i="11"/>
  <c r="E190" i="11"/>
  <c r="D190" i="11"/>
  <c r="I189" i="11"/>
  <c r="E189" i="11"/>
  <c r="D189" i="11"/>
  <c r="I188" i="11"/>
  <c r="E188" i="11"/>
  <c r="D188" i="11"/>
  <c r="I187" i="11"/>
  <c r="E187" i="11"/>
  <c r="D187" i="11"/>
  <c r="I186" i="11"/>
  <c r="E186" i="11"/>
  <c r="D186" i="11"/>
  <c r="I185" i="11"/>
  <c r="E185" i="11"/>
  <c r="D185" i="11"/>
  <c r="I184" i="11"/>
  <c r="E184" i="11"/>
  <c r="D184" i="11"/>
  <c r="I183" i="11"/>
  <c r="E183" i="11"/>
  <c r="D183" i="11"/>
  <c r="I182" i="11"/>
  <c r="E182" i="11"/>
  <c r="D182" i="11"/>
  <c r="I181" i="11"/>
  <c r="E181" i="11"/>
  <c r="D181" i="11"/>
  <c r="I180" i="11"/>
  <c r="E180" i="11"/>
  <c r="D180" i="11"/>
  <c r="I179" i="11"/>
  <c r="E179" i="11"/>
  <c r="D179" i="11"/>
  <c r="I178" i="11"/>
  <c r="E178" i="11"/>
  <c r="D178" i="11"/>
  <c r="I177" i="11"/>
  <c r="E177" i="11"/>
  <c r="D177" i="11"/>
  <c r="I176" i="11"/>
  <c r="E176" i="11"/>
  <c r="D176" i="11"/>
  <c r="I175" i="11"/>
  <c r="E175" i="11"/>
  <c r="D175" i="11"/>
  <c r="I174" i="11"/>
  <c r="E174" i="11"/>
  <c r="D174" i="11"/>
  <c r="I173" i="11"/>
  <c r="E173" i="11"/>
  <c r="D173" i="11"/>
  <c r="I172" i="11"/>
  <c r="E172" i="11"/>
  <c r="D172" i="11"/>
  <c r="I171" i="11"/>
  <c r="E171" i="11"/>
  <c r="D171" i="11"/>
  <c r="I170" i="11"/>
  <c r="E170" i="11"/>
  <c r="D170" i="11"/>
  <c r="I169" i="11"/>
  <c r="E169" i="11"/>
  <c r="D169" i="11"/>
  <c r="I168" i="11"/>
  <c r="E168" i="11"/>
  <c r="D168" i="11"/>
  <c r="I167" i="11"/>
  <c r="E167" i="11"/>
  <c r="D167" i="11"/>
  <c r="I166" i="11"/>
  <c r="E166" i="11"/>
  <c r="D166" i="11"/>
  <c r="I165" i="11"/>
  <c r="E165" i="11"/>
  <c r="D165" i="11"/>
  <c r="I164" i="11"/>
  <c r="E164" i="11"/>
  <c r="D164" i="11"/>
  <c r="I163" i="11"/>
  <c r="E163" i="11"/>
  <c r="D163" i="11"/>
  <c r="I162" i="11"/>
  <c r="E162" i="11"/>
  <c r="D162" i="11"/>
  <c r="I161" i="11"/>
  <c r="E161" i="11"/>
  <c r="D161" i="11"/>
  <c r="I160" i="11"/>
  <c r="E160" i="11"/>
  <c r="D160" i="11"/>
  <c r="I159" i="11"/>
  <c r="E159" i="11"/>
  <c r="D159" i="11"/>
  <c r="I158" i="11"/>
  <c r="E158" i="11"/>
  <c r="D158" i="11"/>
  <c r="I157" i="11"/>
  <c r="E157" i="11"/>
  <c r="D157" i="11"/>
  <c r="I156" i="11"/>
  <c r="E156" i="11"/>
  <c r="D156" i="11"/>
  <c r="I155" i="11"/>
  <c r="E155" i="11"/>
  <c r="D155" i="11"/>
  <c r="I154" i="11"/>
  <c r="E154" i="11"/>
  <c r="D154" i="11"/>
  <c r="I153" i="11"/>
  <c r="E153" i="11"/>
  <c r="D153" i="11"/>
  <c r="I152" i="11"/>
  <c r="E152" i="11"/>
  <c r="D152" i="11"/>
  <c r="I151" i="11"/>
  <c r="E151" i="11"/>
  <c r="D151" i="11"/>
  <c r="I150" i="11"/>
  <c r="E150" i="11"/>
  <c r="D150" i="11"/>
  <c r="I149" i="11"/>
  <c r="E149" i="11"/>
  <c r="D149" i="11"/>
  <c r="I148" i="11"/>
  <c r="E148" i="11"/>
  <c r="D148" i="11"/>
  <c r="I147" i="11"/>
  <c r="E147" i="11"/>
  <c r="D147" i="11"/>
  <c r="I146" i="11"/>
  <c r="E146" i="11"/>
  <c r="D146" i="11"/>
  <c r="I145" i="11"/>
  <c r="E145" i="11"/>
  <c r="D145" i="11"/>
  <c r="I144" i="11"/>
  <c r="E144" i="11"/>
  <c r="D144" i="11"/>
  <c r="I143" i="11"/>
  <c r="E143" i="11"/>
  <c r="D143" i="11"/>
  <c r="I142" i="11"/>
  <c r="E142" i="11"/>
  <c r="D142" i="11"/>
  <c r="I141" i="11"/>
  <c r="E141" i="11"/>
  <c r="D141" i="11"/>
  <c r="I140" i="11"/>
  <c r="E140" i="11"/>
  <c r="D140" i="11"/>
  <c r="I139" i="11"/>
  <c r="E139" i="11"/>
  <c r="D139" i="11"/>
  <c r="I138" i="11"/>
  <c r="E138" i="11"/>
  <c r="D138" i="11"/>
  <c r="I137" i="11"/>
  <c r="E137" i="11"/>
  <c r="D137" i="11"/>
  <c r="I136" i="11"/>
  <c r="E136" i="11"/>
  <c r="D136" i="11"/>
  <c r="I135" i="11"/>
  <c r="E135" i="11"/>
  <c r="D135" i="11"/>
  <c r="I134" i="11"/>
  <c r="E134" i="11"/>
  <c r="D134" i="11"/>
  <c r="I133" i="11"/>
  <c r="E133" i="11"/>
  <c r="D133" i="11"/>
  <c r="I132" i="11"/>
  <c r="E132" i="11"/>
  <c r="D132" i="11"/>
  <c r="I131" i="11"/>
  <c r="E131" i="11"/>
  <c r="D131" i="11"/>
  <c r="I130" i="11"/>
  <c r="E130" i="11"/>
  <c r="D130" i="11"/>
  <c r="I129" i="11"/>
  <c r="E129" i="11"/>
  <c r="D129" i="11"/>
  <c r="I128" i="11"/>
  <c r="E128" i="11"/>
  <c r="D128" i="11"/>
  <c r="I127" i="11"/>
  <c r="E127" i="11"/>
  <c r="D127" i="11"/>
  <c r="I126" i="11"/>
  <c r="E126" i="11"/>
  <c r="D126" i="11"/>
  <c r="I125" i="11"/>
  <c r="E125" i="11"/>
  <c r="D125" i="11"/>
  <c r="I124" i="11"/>
  <c r="E124" i="11"/>
  <c r="D124" i="11"/>
  <c r="I123" i="11"/>
  <c r="E123" i="11"/>
  <c r="D123" i="11"/>
  <c r="I122" i="11"/>
  <c r="E122" i="11"/>
  <c r="D122" i="11"/>
  <c r="I121" i="11"/>
  <c r="E121" i="11"/>
  <c r="D121" i="11"/>
  <c r="I120" i="11"/>
  <c r="E120" i="11"/>
  <c r="D120" i="11"/>
  <c r="I119" i="11"/>
  <c r="E119" i="11"/>
  <c r="D119" i="11"/>
  <c r="I118" i="11"/>
  <c r="E118" i="11"/>
  <c r="D118" i="11"/>
  <c r="I117" i="11"/>
  <c r="E117" i="11"/>
  <c r="D117" i="11"/>
  <c r="I116" i="11"/>
  <c r="E116" i="11"/>
  <c r="D116" i="11"/>
  <c r="I115" i="11"/>
  <c r="E115" i="11"/>
  <c r="D115" i="11"/>
  <c r="I114" i="11"/>
  <c r="E114" i="11"/>
  <c r="D114" i="11"/>
  <c r="I113" i="11"/>
  <c r="E113" i="11"/>
  <c r="D113" i="11"/>
  <c r="I112" i="11"/>
  <c r="E112" i="11"/>
  <c r="D112" i="11"/>
  <c r="I111" i="11"/>
  <c r="E111" i="11"/>
  <c r="D111" i="11"/>
  <c r="I110" i="11"/>
  <c r="E110" i="11"/>
  <c r="D110" i="11"/>
  <c r="I109" i="11"/>
  <c r="E109" i="11"/>
  <c r="D109" i="11"/>
  <c r="I108" i="11"/>
  <c r="E108" i="11"/>
  <c r="D108" i="11"/>
  <c r="I107" i="11"/>
  <c r="E107" i="11"/>
  <c r="D107" i="11"/>
  <c r="I106" i="11"/>
  <c r="E106" i="11"/>
  <c r="D106" i="11"/>
  <c r="I105" i="11"/>
  <c r="E105" i="11"/>
  <c r="D105" i="11"/>
  <c r="I104" i="11"/>
  <c r="E104" i="11"/>
  <c r="D104" i="11"/>
  <c r="I103" i="11"/>
  <c r="E103" i="11"/>
  <c r="D103" i="11"/>
  <c r="I102" i="11"/>
  <c r="E102" i="11"/>
  <c r="D102" i="11"/>
  <c r="I101" i="11"/>
  <c r="E101" i="11"/>
  <c r="D101" i="11"/>
  <c r="I100" i="11"/>
  <c r="E100" i="11"/>
  <c r="D100" i="11"/>
  <c r="I99" i="11"/>
  <c r="E99" i="11"/>
  <c r="D99" i="11"/>
  <c r="I98" i="11"/>
  <c r="E98" i="11"/>
  <c r="D98" i="11"/>
  <c r="I97" i="11"/>
  <c r="E97" i="11"/>
  <c r="D97" i="11"/>
  <c r="I96" i="11"/>
  <c r="E96" i="11"/>
  <c r="D96" i="11"/>
  <c r="I95" i="11"/>
  <c r="E95" i="11"/>
  <c r="D95" i="11"/>
  <c r="I94" i="11"/>
  <c r="E94" i="11"/>
  <c r="D94" i="11"/>
  <c r="I93" i="11"/>
  <c r="E93" i="11"/>
  <c r="D93" i="11"/>
  <c r="I92" i="11"/>
  <c r="E92" i="11"/>
  <c r="D92" i="11"/>
  <c r="I91" i="11"/>
  <c r="E91" i="11"/>
  <c r="D91" i="11"/>
  <c r="I90" i="11"/>
  <c r="E90" i="11"/>
  <c r="D90" i="11"/>
  <c r="I89" i="11"/>
  <c r="E89" i="11"/>
  <c r="D89" i="11"/>
  <c r="I88" i="11"/>
  <c r="E88" i="11"/>
  <c r="D88" i="11"/>
  <c r="I87" i="11"/>
  <c r="E87" i="11"/>
  <c r="D87" i="11"/>
  <c r="I86" i="11"/>
  <c r="E86" i="11"/>
  <c r="D86" i="11"/>
  <c r="I85" i="11"/>
  <c r="E85" i="11"/>
  <c r="D85" i="11"/>
  <c r="I84" i="11"/>
  <c r="E84" i="11"/>
  <c r="D84" i="11"/>
  <c r="I83" i="11"/>
  <c r="E83" i="11"/>
  <c r="D83" i="11"/>
  <c r="I82" i="11"/>
  <c r="E82" i="11"/>
  <c r="D82" i="11"/>
  <c r="I81" i="11"/>
  <c r="E81" i="11"/>
  <c r="D81" i="11"/>
  <c r="I80" i="11"/>
  <c r="E80" i="11"/>
  <c r="D80" i="11"/>
  <c r="I79" i="11"/>
  <c r="E79" i="11"/>
  <c r="D79" i="11"/>
  <c r="I78" i="11"/>
  <c r="E78" i="11"/>
  <c r="D78" i="11"/>
  <c r="I77" i="11"/>
  <c r="E77" i="11"/>
  <c r="D77" i="11"/>
  <c r="I76" i="11"/>
  <c r="E76" i="11"/>
  <c r="D76" i="11"/>
  <c r="I75" i="11"/>
  <c r="E75" i="11"/>
  <c r="D75" i="11"/>
  <c r="I74" i="11"/>
  <c r="E74" i="11"/>
  <c r="D74" i="11"/>
  <c r="I73" i="11"/>
  <c r="E73" i="11"/>
  <c r="D73" i="11"/>
  <c r="I72" i="11"/>
  <c r="E72" i="11"/>
  <c r="D72" i="11"/>
  <c r="I71" i="11"/>
  <c r="E71" i="11"/>
  <c r="D71" i="11"/>
  <c r="I70" i="11"/>
  <c r="E70" i="11"/>
  <c r="D70" i="11"/>
  <c r="I69" i="11"/>
  <c r="E69" i="11"/>
  <c r="D69" i="11"/>
  <c r="I68" i="11"/>
  <c r="E68" i="11"/>
  <c r="D68" i="11"/>
  <c r="I67" i="11"/>
  <c r="E67" i="11"/>
  <c r="D67" i="11"/>
  <c r="I66" i="11"/>
  <c r="E66" i="11"/>
  <c r="D66" i="11"/>
  <c r="I65" i="11"/>
  <c r="E65" i="11"/>
  <c r="D65" i="11"/>
  <c r="I64" i="11"/>
  <c r="E64" i="11"/>
  <c r="D64" i="11"/>
  <c r="I63" i="11"/>
  <c r="E63" i="11"/>
  <c r="D63" i="11"/>
  <c r="I62" i="11"/>
  <c r="E62" i="11"/>
  <c r="D62" i="11"/>
  <c r="I61" i="11"/>
  <c r="E61" i="11"/>
  <c r="D61" i="11"/>
  <c r="I60" i="11"/>
  <c r="E60" i="11"/>
  <c r="D60" i="11"/>
  <c r="I59" i="11"/>
  <c r="E59" i="11"/>
  <c r="D59" i="11"/>
  <c r="I58" i="11"/>
  <c r="E58" i="11"/>
  <c r="D58" i="11"/>
  <c r="I57" i="11"/>
  <c r="E57" i="11"/>
  <c r="D57" i="11"/>
  <c r="I56" i="11"/>
  <c r="E56" i="11"/>
  <c r="D56" i="11"/>
  <c r="I55" i="11"/>
  <c r="E55" i="11"/>
  <c r="D55" i="11"/>
  <c r="I54" i="11"/>
  <c r="E54" i="11"/>
  <c r="D54" i="11"/>
  <c r="I53" i="11"/>
  <c r="E53" i="11"/>
  <c r="D53" i="11"/>
  <c r="I52" i="11"/>
  <c r="E52" i="11"/>
  <c r="D52" i="11"/>
  <c r="I51" i="11"/>
  <c r="E51" i="11"/>
  <c r="D51" i="11"/>
  <c r="I50" i="11"/>
  <c r="E50" i="11"/>
  <c r="D50" i="11"/>
  <c r="I49" i="11"/>
  <c r="E49" i="11"/>
  <c r="D49" i="11"/>
  <c r="I48" i="11"/>
  <c r="E48" i="11"/>
  <c r="D48" i="11"/>
  <c r="I47" i="11"/>
  <c r="E47" i="11"/>
  <c r="D47" i="11"/>
  <c r="I46" i="11"/>
  <c r="E46" i="11"/>
  <c r="D46" i="11"/>
  <c r="I45" i="11"/>
  <c r="E45" i="11"/>
  <c r="D45" i="11"/>
  <c r="I44" i="11"/>
  <c r="E44" i="11"/>
  <c r="D44" i="11"/>
  <c r="I43" i="11"/>
  <c r="E43" i="11"/>
  <c r="D43" i="11"/>
  <c r="I42" i="11"/>
  <c r="E42" i="11"/>
  <c r="D42" i="11"/>
  <c r="I41" i="11"/>
  <c r="E41" i="11"/>
  <c r="D41" i="11"/>
  <c r="I40" i="11"/>
  <c r="E40" i="11"/>
  <c r="D40" i="11"/>
  <c r="I39" i="11"/>
  <c r="E39" i="11"/>
  <c r="D39" i="11"/>
  <c r="I38" i="11"/>
  <c r="E38" i="11"/>
  <c r="D38" i="11"/>
  <c r="I37" i="11"/>
  <c r="E37" i="11"/>
  <c r="D37" i="11"/>
  <c r="I36" i="11"/>
  <c r="E36" i="11"/>
  <c r="D36" i="11"/>
  <c r="I35" i="11"/>
  <c r="E35" i="11"/>
  <c r="D35" i="11"/>
  <c r="I34" i="11"/>
  <c r="E34" i="11"/>
  <c r="D34" i="11"/>
  <c r="I33" i="11"/>
  <c r="E33" i="11"/>
  <c r="D33" i="11"/>
  <c r="I32" i="11"/>
  <c r="E32" i="11"/>
  <c r="D32" i="11"/>
  <c r="I31" i="11"/>
  <c r="E31" i="11"/>
  <c r="D31" i="11"/>
  <c r="I30" i="11"/>
  <c r="E30" i="11"/>
  <c r="D30" i="11"/>
  <c r="I29" i="11"/>
  <c r="E29" i="11"/>
  <c r="D29" i="11"/>
  <c r="I28" i="11"/>
  <c r="E28" i="11"/>
  <c r="D28" i="11"/>
  <c r="I27" i="11"/>
  <c r="E27" i="11"/>
  <c r="D27" i="11"/>
  <c r="I26" i="11"/>
  <c r="E26" i="11"/>
  <c r="D26" i="11"/>
  <c r="I25" i="11"/>
  <c r="E25" i="11"/>
  <c r="D25" i="11"/>
  <c r="I24" i="11"/>
  <c r="E24" i="11"/>
  <c r="D24" i="11"/>
  <c r="I23" i="11"/>
  <c r="E23" i="11"/>
  <c r="D23" i="11"/>
  <c r="I22" i="11"/>
  <c r="E22" i="11"/>
  <c r="D22" i="11"/>
  <c r="I21" i="11"/>
  <c r="E21" i="11"/>
  <c r="D21" i="11"/>
  <c r="I20" i="11"/>
  <c r="E20" i="11"/>
  <c r="D20" i="11"/>
  <c r="I19" i="11"/>
  <c r="E19" i="11"/>
  <c r="D19" i="11"/>
  <c r="I18" i="11"/>
  <c r="E18" i="11"/>
  <c r="D18" i="11"/>
  <c r="I17" i="11"/>
  <c r="E17" i="11"/>
  <c r="D17" i="11"/>
  <c r="I16" i="11"/>
  <c r="E16" i="11"/>
  <c r="D16" i="11"/>
  <c r="I15" i="11"/>
  <c r="E15" i="11"/>
  <c r="D15" i="11"/>
  <c r="I14" i="11"/>
  <c r="E14" i="11"/>
  <c r="D14" i="11"/>
  <c r="I13" i="11"/>
  <c r="E13" i="11"/>
  <c r="D13" i="11"/>
  <c r="I12" i="11"/>
  <c r="E12" i="11"/>
  <c r="D12" i="11"/>
  <c r="I11" i="11"/>
  <c r="E11" i="11"/>
  <c r="D11" i="11"/>
  <c r="I10" i="11"/>
  <c r="E10" i="11"/>
  <c r="D10" i="11"/>
  <c r="I9" i="11"/>
  <c r="E9" i="11"/>
  <c r="D9" i="11"/>
  <c r="I8" i="11"/>
  <c r="E8" i="11"/>
  <c r="D8" i="11"/>
  <c r="I7" i="11"/>
  <c r="E7" i="11"/>
  <c r="D7" i="11"/>
  <c r="I6" i="11"/>
  <c r="E6" i="11"/>
  <c r="D6" i="11"/>
  <c r="I5" i="11"/>
  <c r="E5" i="11"/>
  <c r="D5" i="11"/>
  <c r="I4" i="11"/>
  <c r="E4" i="11"/>
  <c r="D4" i="11"/>
  <c r="I3" i="11"/>
  <c r="E3" i="11"/>
  <c r="D3" i="11"/>
  <c r="I2" i="11"/>
  <c r="C16" i="8" s="1"/>
  <c r="E2" i="11"/>
  <c r="D2" i="11"/>
  <c r="I222" i="10"/>
  <c r="E222" i="10"/>
  <c r="D222" i="10"/>
  <c r="I221" i="10"/>
  <c r="E221" i="10"/>
  <c r="D221" i="10"/>
  <c r="I220" i="10"/>
  <c r="E220" i="10"/>
  <c r="D220" i="10"/>
  <c r="I219" i="10"/>
  <c r="E219" i="10"/>
  <c r="D219" i="10"/>
  <c r="I218" i="10"/>
  <c r="E218" i="10"/>
  <c r="D218" i="10"/>
  <c r="I217" i="10"/>
  <c r="E217" i="10"/>
  <c r="D217" i="10"/>
  <c r="I216" i="10"/>
  <c r="E216" i="10"/>
  <c r="D216" i="10"/>
  <c r="I215" i="10"/>
  <c r="E215" i="10"/>
  <c r="D215" i="10"/>
  <c r="I214" i="10"/>
  <c r="E214" i="10"/>
  <c r="D214" i="10"/>
  <c r="I213" i="10"/>
  <c r="E213" i="10"/>
  <c r="D213" i="10"/>
  <c r="I212" i="10"/>
  <c r="E212" i="10"/>
  <c r="D212" i="10"/>
  <c r="I211" i="10"/>
  <c r="E211" i="10"/>
  <c r="D211" i="10"/>
  <c r="I210" i="10"/>
  <c r="E210" i="10"/>
  <c r="D210" i="10"/>
  <c r="I209" i="10"/>
  <c r="E209" i="10"/>
  <c r="D209" i="10"/>
  <c r="I208" i="10"/>
  <c r="E208" i="10"/>
  <c r="D208" i="10"/>
  <c r="I207" i="10"/>
  <c r="E207" i="10"/>
  <c r="D207" i="10"/>
  <c r="I206" i="10"/>
  <c r="E206" i="10"/>
  <c r="D206" i="10"/>
  <c r="I205" i="10"/>
  <c r="E205" i="10"/>
  <c r="D205" i="10"/>
  <c r="I204" i="10"/>
  <c r="E204" i="10"/>
  <c r="D204" i="10"/>
  <c r="I203" i="10"/>
  <c r="E203" i="10"/>
  <c r="D203" i="10"/>
  <c r="I202" i="10"/>
  <c r="E202" i="10"/>
  <c r="D202" i="10"/>
  <c r="I201" i="10"/>
  <c r="E201" i="10"/>
  <c r="D201" i="10"/>
  <c r="I200" i="10"/>
  <c r="E200" i="10"/>
  <c r="D200" i="10"/>
  <c r="I199" i="10"/>
  <c r="E199" i="10"/>
  <c r="D199" i="10"/>
  <c r="I198" i="10"/>
  <c r="E198" i="10"/>
  <c r="D198" i="10"/>
  <c r="I197" i="10"/>
  <c r="E197" i="10"/>
  <c r="D197" i="10"/>
  <c r="I196" i="10"/>
  <c r="E196" i="10"/>
  <c r="D196" i="10"/>
  <c r="I195" i="10"/>
  <c r="E195" i="10"/>
  <c r="D195" i="10"/>
  <c r="I194" i="10"/>
  <c r="E194" i="10"/>
  <c r="D194" i="10"/>
  <c r="I193" i="10"/>
  <c r="E193" i="10"/>
  <c r="D193" i="10"/>
  <c r="I192" i="10"/>
  <c r="E192" i="10"/>
  <c r="D192" i="10"/>
  <c r="I191" i="10"/>
  <c r="E191" i="10"/>
  <c r="D191" i="10"/>
  <c r="I190" i="10"/>
  <c r="E190" i="10"/>
  <c r="D190" i="10"/>
  <c r="I189" i="10"/>
  <c r="E189" i="10"/>
  <c r="D189" i="10"/>
  <c r="I188" i="10"/>
  <c r="E188" i="10"/>
  <c r="D188" i="10"/>
  <c r="I187" i="10"/>
  <c r="E187" i="10"/>
  <c r="D187" i="10"/>
  <c r="I186" i="10"/>
  <c r="E186" i="10"/>
  <c r="D186" i="10"/>
  <c r="I185" i="10"/>
  <c r="E185" i="10"/>
  <c r="D185" i="10"/>
  <c r="I184" i="10"/>
  <c r="E184" i="10"/>
  <c r="D184" i="10"/>
  <c r="I183" i="10"/>
  <c r="E183" i="10"/>
  <c r="D183" i="10"/>
  <c r="I182" i="10"/>
  <c r="E182" i="10"/>
  <c r="D182" i="10"/>
  <c r="I181" i="10"/>
  <c r="E181" i="10"/>
  <c r="D181" i="10"/>
  <c r="I180" i="10"/>
  <c r="E180" i="10"/>
  <c r="D180" i="10"/>
  <c r="I179" i="10"/>
  <c r="E179" i="10"/>
  <c r="D179" i="10"/>
  <c r="I178" i="10"/>
  <c r="E178" i="10"/>
  <c r="D178" i="10"/>
  <c r="I177" i="10"/>
  <c r="E177" i="10"/>
  <c r="D177" i="10"/>
  <c r="I176" i="10"/>
  <c r="E176" i="10"/>
  <c r="D176" i="10"/>
  <c r="I175" i="10"/>
  <c r="E175" i="10"/>
  <c r="D175" i="10"/>
  <c r="I174" i="10"/>
  <c r="E174" i="10"/>
  <c r="D174" i="10"/>
  <c r="I173" i="10"/>
  <c r="E173" i="10"/>
  <c r="D173" i="10"/>
  <c r="I172" i="10"/>
  <c r="E172" i="10"/>
  <c r="D172" i="10"/>
  <c r="I171" i="10"/>
  <c r="E171" i="10"/>
  <c r="D171" i="10"/>
  <c r="I170" i="10"/>
  <c r="E170" i="10"/>
  <c r="D170" i="10"/>
  <c r="I169" i="10"/>
  <c r="E169" i="10"/>
  <c r="D169" i="10"/>
  <c r="I168" i="10"/>
  <c r="E168" i="10"/>
  <c r="D168" i="10"/>
  <c r="I167" i="10"/>
  <c r="E167" i="10"/>
  <c r="D167" i="10"/>
  <c r="I166" i="10"/>
  <c r="E166" i="10"/>
  <c r="D166" i="10"/>
  <c r="I165" i="10"/>
  <c r="E165" i="10"/>
  <c r="D165" i="10"/>
  <c r="I164" i="10"/>
  <c r="E164" i="10"/>
  <c r="D164" i="10"/>
  <c r="I163" i="10"/>
  <c r="E163" i="10"/>
  <c r="D163" i="10"/>
  <c r="I162" i="10"/>
  <c r="E162" i="10"/>
  <c r="D162" i="10"/>
  <c r="I161" i="10"/>
  <c r="E161" i="10"/>
  <c r="D161" i="10"/>
  <c r="I160" i="10"/>
  <c r="E160" i="10"/>
  <c r="D160" i="10"/>
  <c r="I159" i="10"/>
  <c r="E159" i="10"/>
  <c r="D159" i="10"/>
  <c r="I158" i="10"/>
  <c r="E158" i="10"/>
  <c r="D158" i="10"/>
  <c r="I157" i="10"/>
  <c r="E157" i="10"/>
  <c r="D157" i="10"/>
  <c r="I156" i="10"/>
  <c r="E156" i="10"/>
  <c r="D156" i="10"/>
  <c r="I155" i="10"/>
  <c r="E155" i="10"/>
  <c r="D155" i="10"/>
  <c r="I154" i="10"/>
  <c r="E154" i="10"/>
  <c r="D154" i="10"/>
  <c r="I153" i="10"/>
  <c r="E153" i="10"/>
  <c r="D153" i="10"/>
  <c r="I152" i="10"/>
  <c r="E152" i="10"/>
  <c r="D152" i="10"/>
  <c r="I151" i="10"/>
  <c r="E151" i="10"/>
  <c r="D151" i="10"/>
  <c r="I150" i="10"/>
  <c r="E150" i="10"/>
  <c r="D150" i="10"/>
  <c r="I149" i="10"/>
  <c r="E149" i="10"/>
  <c r="D149" i="10"/>
  <c r="I148" i="10"/>
  <c r="E148" i="10"/>
  <c r="D148" i="10"/>
  <c r="I147" i="10"/>
  <c r="E147" i="10"/>
  <c r="D147" i="10"/>
  <c r="I146" i="10"/>
  <c r="E146" i="10"/>
  <c r="D146" i="10"/>
  <c r="I145" i="10"/>
  <c r="E145" i="10"/>
  <c r="D145" i="10"/>
  <c r="I144" i="10"/>
  <c r="E144" i="10"/>
  <c r="D144" i="10"/>
  <c r="I143" i="10"/>
  <c r="E143" i="10"/>
  <c r="D143" i="10"/>
  <c r="I142" i="10"/>
  <c r="E142" i="10"/>
  <c r="D142" i="10"/>
  <c r="I141" i="10"/>
  <c r="E141" i="10"/>
  <c r="D141" i="10"/>
  <c r="I140" i="10"/>
  <c r="E140" i="10"/>
  <c r="D140" i="10"/>
  <c r="I139" i="10"/>
  <c r="E139" i="10"/>
  <c r="D139" i="10"/>
  <c r="I138" i="10"/>
  <c r="E138" i="10"/>
  <c r="D138" i="10"/>
  <c r="I137" i="10"/>
  <c r="E137" i="10"/>
  <c r="D137" i="10"/>
  <c r="I136" i="10"/>
  <c r="E136" i="10"/>
  <c r="D136" i="10"/>
  <c r="I135" i="10"/>
  <c r="E135" i="10"/>
  <c r="D135" i="10"/>
  <c r="I134" i="10"/>
  <c r="E134" i="10"/>
  <c r="D134" i="10"/>
  <c r="I133" i="10"/>
  <c r="E133" i="10"/>
  <c r="D133" i="10"/>
  <c r="I132" i="10"/>
  <c r="E132" i="10"/>
  <c r="D132" i="10"/>
  <c r="I131" i="10"/>
  <c r="E131" i="10"/>
  <c r="D131" i="10"/>
  <c r="I130" i="10"/>
  <c r="E130" i="10"/>
  <c r="D130" i="10"/>
  <c r="I129" i="10"/>
  <c r="E129" i="10"/>
  <c r="D129" i="10"/>
  <c r="I128" i="10"/>
  <c r="E128" i="10"/>
  <c r="D128" i="10"/>
  <c r="I127" i="10"/>
  <c r="E127" i="10"/>
  <c r="D127" i="10"/>
  <c r="I126" i="10"/>
  <c r="E126" i="10"/>
  <c r="D126" i="10"/>
  <c r="I125" i="10"/>
  <c r="E125" i="10"/>
  <c r="D125" i="10"/>
  <c r="I124" i="10"/>
  <c r="E124" i="10"/>
  <c r="D124" i="10"/>
  <c r="I123" i="10"/>
  <c r="E123" i="10"/>
  <c r="D123" i="10"/>
  <c r="I122" i="10"/>
  <c r="E122" i="10"/>
  <c r="D122" i="10"/>
  <c r="I121" i="10"/>
  <c r="E121" i="10"/>
  <c r="D121" i="10"/>
  <c r="I120" i="10"/>
  <c r="E120" i="10"/>
  <c r="D120" i="10"/>
  <c r="I119" i="10"/>
  <c r="E119" i="10"/>
  <c r="D119" i="10"/>
  <c r="I118" i="10"/>
  <c r="E118" i="10"/>
  <c r="D118" i="10"/>
  <c r="I117" i="10"/>
  <c r="E117" i="10"/>
  <c r="D117" i="10"/>
  <c r="I116" i="10"/>
  <c r="E116" i="10"/>
  <c r="D116" i="10"/>
  <c r="I115" i="10"/>
  <c r="E115" i="10"/>
  <c r="D115" i="10"/>
  <c r="I114" i="10"/>
  <c r="E114" i="10"/>
  <c r="D114" i="10"/>
  <c r="I113" i="10"/>
  <c r="E113" i="10"/>
  <c r="D113" i="10"/>
  <c r="I112" i="10"/>
  <c r="E112" i="10"/>
  <c r="D112" i="10"/>
  <c r="I111" i="10"/>
  <c r="E111" i="10"/>
  <c r="D111" i="10"/>
  <c r="I110" i="10"/>
  <c r="E110" i="10"/>
  <c r="D110" i="10"/>
  <c r="I109" i="10"/>
  <c r="E109" i="10"/>
  <c r="D109" i="10"/>
  <c r="I108" i="10"/>
  <c r="E108" i="10"/>
  <c r="D108" i="10"/>
  <c r="I107" i="10"/>
  <c r="E107" i="10"/>
  <c r="D107" i="10"/>
  <c r="I106" i="10"/>
  <c r="E106" i="10"/>
  <c r="D106" i="10"/>
  <c r="I105" i="10"/>
  <c r="E105" i="10"/>
  <c r="D105" i="10"/>
  <c r="I104" i="10"/>
  <c r="E104" i="10"/>
  <c r="D104" i="10"/>
  <c r="I103" i="10"/>
  <c r="E103" i="10"/>
  <c r="D103" i="10"/>
  <c r="I102" i="10"/>
  <c r="E102" i="10"/>
  <c r="D102" i="10"/>
  <c r="I101" i="10"/>
  <c r="E101" i="10"/>
  <c r="D101" i="10"/>
  <c r="I100" i="10"/>
  <c r="E100" i="10"/>
  <c r="D100" i="10"/>
  <c r="I99" i="10"/>
  <c r="E99" i="10"/>
  <c r="D99" i="10"/>
  <c r="I98" i="10"/>
  <c r="E98" i="10"/>
  <c r="D98" i="10"/>
  <c r="I97" i="10"/>
  <c r="E97" i="10"/>
  <c r="D97" i="10"/>
  <c r="I96" i="10"/>
  <c r="E96" i="10"/>
  <c r="D96" i="10"/>
  <c r="I95" i="10"/>
  <c r="E95" i="10"/>
  <c r="D95" i="10"/>
  <c r="I94" i="10"/>
  <c r="E94" i="10"/>
  <c r="D94" i="10"/>
  <c r="I93" i="10"/>
  <c r="E93" i="10"/>
  <c r="D93" i="10"/>
  <c r="I92" i="10"/>
  <c r="E92" i="10"/>
  <c r="D92" i="10"/>
  <c r="I91" i="10"/>
  <c r="E91" i="10"/>
  <c r="D91" i="10"/>
  <c r="I90" i="10"/>
  <c r="E90" i="10"/>
  <c r="D90" i="10"/>
  <c r="I89" i="10"/>
  <c r="E89" i="10"/>
  <c r="D89" i="10"/>
  <c r="I88" i="10"/>
  <c r="E88" i="10"/>
  <c r="D88" i="10"/>
  <c r="I87" i="10"/>
  <c r="E87" i="10"/>
  <c r="D87" i="10"/>
  <c r="I86" i="10"/>
  <c r="E86" i="10"/>
  <c r="D86" i="10"/>
  <c r="I85" i="10"/>
  <c r="E85" i="10"/>
  <c r="D85" i="10"/>
  <c r="I84" i="10"/>
  <c r="E84" i="10"/>
  <c r="D84" i="10"/>
  <c r="I83" i="10"/>
  <c r="E83" i="10"/>
  <c r="D83" i="10"/>
  <c r="I82" i="10"/>
  <c r="E82" i="10"/>
  <c r="D82" i="10"/>
  <c r="I81" i="10"/>
  <c r="E81" i="10"/>
  <c r="D81" i="10"/>
  <c r="I80" i="10"/>
  <c r="E80" i="10"/>
  <c r="D80" i="10"/>
  <c r="I79" i="10"/>
  <c r="E79" i="10"/>
  <c r="D79" i="10"/>
  <c r="I78" i="10"/>
  <c r="E78" i="10"/>
  <c r="D78" i="10"/>
  <c r="I77" i="10"/>
  <c r="E77" i="10"/>
  <c r="D77" i="10"/>
  <c r="I76" i="10"/>
  <c r="E76" i="10"/>
  <c r="D76" i="10"/>
  <c r="I75" i="10"/>
  <c r="E75" i="10"/>
  <c r="D75" i="10"/>
  <c r="I74" i="10"/>
  <c r="E74" i="10"/>
  <c r="D74" i="10"/>
  <c r="I73" i="10"/>
  <c r="E73" i="10"/>
  <c r="D73" i="10"/>
  <c r="I72" i="10"/>
  <c r="E72" i="10"/>
  <c r="D72" i="10"/>
  <c r="I71" i="10"/>
  <c r="E71" i="10"/>
  <c r="D71" i="10"/>
  <c r="I70" i="10"/>
  <c r="E70" i="10"/>
  <c r="D70" i="10"/>
  <c r="I69" i="10"/>
  <c r="E69" i="10"/>
  <c r="D69" i="10"/>
  <c r="I68" i="10"/>
  <c r="E68" i="10"/>
  <c r="D68" i="10"/>
  <c r="I67" i="10"/>
  <c r="E67" i="10"/>
  <c r="D67" i="10"/>
  <c r="I66" i="10"/>
  <c r="E66" i="10"/>
  <c r="D66" i="10"/>
  <c r="I65" i="10"/>
  <c r="E65" i="10"/>
  <c r="D65" i="10"/>
  <c r="I64" i="10"/>
  <c r="E64" i="10"/>
  <c r="D64" i="10"/>
  <c r="I63" i="10"/>
  <c r="E63" i="10"/>
  <c r="D63" i="10"/>
  <c r="I62" i="10"/>
  <c r="E62" i="10"/>
  <c r="D62" i="10"/>
  <c r="I61" i="10"/>
  <c r="E61" i="10"/>
  <c r="D61" i="10"/>
  <c r="I60" i="10"/>
  <c r="E60" i="10"/>
  <c r="D60" i="10"/>
  <c r="I59" i="10"/>
  <c r="E59" i="10"/>
  <c r="D59" i="10"/>
  <c r="I58" i="10"/>
  <c r="E58" i="10"/>
  <c r="D58" i="10"/>
  <c r="I57" i="10"/>
  <c r="E57" i="10"/>
  <c r="D57" i="10"/>
  <c r="I56" i="10"/>
  <c r="E56" i="10"/>
  <c r="D56" i="10"/>
  <c r="I55" i="10"/>
  <c r="E55" i="10"/>
  <c r="D55" i="10"/>
  <c r="I54" i="10"/>
  <c r="E54" i="10"/>
  <c r="D54" i="10"/>
  <c r="I53" i="10"/>
  <c r="E53" i="10"/>
  <c r="D53" i="10"/>
  <c r="I52" i="10"/>
  <c r="E52" i="10"/>
  <c r="D52" i="10"/>
  <c r="I51" i="10"/>
  <c r="E51" i="10"/>
  <c r="D51" i="10"/>
  <c r="I50" i="10"/>
  <c r="E50" i="10"/>
  <c r="D50" i="10"/>
  <c r="I49" i="10"/>
  <c r="E49" i="10"/>
  <c r="D49" i="10"/>
  <c r="I48" i="10"/>
  <c r="E48" i="10"/>
  <c r="D48" i="10"/>
  <c r="I47" i="10"/>
  <c r="E47" i="10"/>
  <c r="D47" i="10"/>
  <c r="I46" i="10"/>
  <c r="E46" i="10"/>
  <c r="D46" i="10"/>
  <c r="I45" i="10"/>
  <c r="E45" i="10"/>
  <c r="D45" i="10"/>
  <c r="I44" i="10"/>
  <c r="E44" i="10"/>
  <c r="D44" i="10"/>
  <c r="I43" i="10"/>
  <c r="E43" i="10"/>
  <c r="D43" i="10"/>
  <c r="I42" i="10"/>
  <c r="E42" i="10"/>
  <c r="D42" i="10"/>
  <c r="I41" i="10"/>
  <c r="E41" i="10"/>
  <c r="D41" i="10"/>
  <c r="I40" i="10"/>
  <c r="E40" i="10"/>
  <c r="D40" i="10"/>
  <c r="I39" i="10"/>
  <c r="E39" i="10"/>
  <c r="D39" i="10"/>
  <c r="I38" i="10"/>
  <c r="E38" i="10"/>
  <c r="D38" i="10"/>
  <c r="I37" i="10"/>
  <c r="E37" i="10"/>
  <c r="D37" i="10"/>
  <c r="I36" i="10"/>
  <c r="E36" i="10"/>
  <c r="D36" i="10"/>
  <c r="I35" i="10"/>
  <c r="E35" i="10"/>
  <c r="D35" i="10"/>
  <c r="I34" i="10"/>
  <c r="E34" i="10"/>
  <c r="D34" i="10"/>
  <c r="I33" i="10"/>
  <c r="E33" i="10"/>
  <c r="D33" i="10"/>
  <c r="I32" i="10"/>
  <c r="E32" i="10"/>
  <c r="D32" i="10"/>
  <c r="I31" i="10"/>
  <c r="E31" i="10"/>
  <c r="D31" i="10"/>
  <c r="I30" i="10"/>
  <c r="E30" i="10"/>
  <c r="D30" i="10"/>
  <c r="I29" i="10"/>
  <c r="E29" i="10"/>
  <c r="D29" i="10"/>
  <c r="I28" i="10"/>
  <c r="E28" i="10"/>
  <c r="D28" i="10"/>
  <c r="I27" i="10"/>
  <c r="E27" i="10"/>
  <c r="D27" i="10"/>
  <c r="I26" i="10"/>
  <c r="E26" i="10"/>
  <c r="D26" i="10"/>
  <c r="I25" i="10"/>
  <c r="E25" i="10"/>
  <c r="D25" i="10"/>
  <c r="I24" i="10"/>
  <c r="E24" i="10"/>
  <c r="D24" i="10"/>
  <c r="I23" i="10"/>
  <c r="E23" i="10"/>
  <c r="D23" i="10"/>
  <c r="I22" i="10"/>
  <c r="E22" i="10"/>
  <c r="D22" i="10"/>
  <c r="I21" i="10"/>
  <c r="E21" i="10"/>
  <c r="D21" i="10"/>
  <c r="I20" i="10"/>
  <c r="E20" i="10"/>
  <c r="D20" i="10"/>
  <c r="I19" i="10"/>
  <c r="E19" i="10"/>
  <c r="D19" i="10"/>
  <c r="I18" i="10"/>
  <c r="E18" i="10"/>
  <c r="D18" i="10"/>
  <c r="I17" i="10"/>
  <c r="E17" i="10"/>
  <c r="D17" i="10"/>
  <c r="I16" i="10"/>
  <c r="E16" i="10"/>
  <c r="D16" i="10"/>
  <c r="I15" i="10"/>
  <c r="E15" i="10"/>
  <c r="D15" i="10"/>
  <c r="I14" i="10"/>
  <c r="E14" i="10"/>
  <c r="D14" i="10"/>
  <c r="I13" i="10"/>
  <c r="E13" i="10"/>
  <c r="D13" i="10"/>
  <c r="I12" i="10"/>
  <c r="E12" i="10"/>
  <c r="D12" i="10"/>
  <c r="I11" i="10"/>
  <c r="E11" i="10"/>
  <c r="D11" i="10"/>
  <c r="I10" i="10"/>
  <c r="E10" i="10"/>
  <c r="D10" i="10"/>
  <c r="I9" i="10"/>
  <c r="E9" i="10"/>
  <c r="D9" i="10"/>
  <c r="I8" i="10"/>
  <c r="E8" i="10"/>
  <c r="D8" i="10"/>
  <c r="I7" i="10"/>
  <c r="E7" i="10"/>
  <c r="D7" i="10"/>
  <c r="I6" i="10"/>
  <c r="E6" i="10"/>
  <c r="D6" i="10"/>
  <c r="I5" i="10"/>
  <c r="E5" i="10"/>
  <c r="D5" i="10"/>
  <c r="I4" i="10"/>
  <c r="E4" i="10"/>
  <c r="D4" i="10"/>
  <c r="I3" i="10"/>
  <c r="E3" i="10"/>
  <c r="D3" i="10"/>
  <c r="I2" i="10"/>
  <c r="E2" i="10"/>
  <c r="D2" i="10"/>
  <c r="I246" i="9"/>
  <c r="E246" i="9"/>
  <c r="D246" i="9"/>
  <c r="I245" i="9"/>
  <c r="E245" i="9"/>
  <c r="D245" i="9"/>
  <c r="I244" i="9"/>
  <c r="E244" i="9"/>
  <c r="D244" i="9"/>
  <c r="I243" i="9"/>
  <c r="E243" i="9"/>
  <c r="D243" i="9"/>
  <c r="I242" i="9"/>
  <c r="E242" i="9"/>
  <c r="D242" i="9"/>
  <c r="I241" i="9"/>
  <c r="E241" i="9"/>
  <c r="D241" i="9"/>
  <c r="I240" i="9"/>
  <c r="E240" i="9"/>
  <c r="D240" i="9"/>
  <c r="I239" i="9"/>
  <c r="E239" i="9"/>
  <c r="D239" i="9"/>
  <c r="I238" i="9"/>
  <c r="E238" i="9"/>
  <c r="D238" i="9"/>
  <c r="I237" i="9"/>
  <c r="E237" i="9"/>
  <c r="D237" i="9"/>
  <c r="I236" i="9"/>
  <c r="E236" i="9"/>
  <c r="D236" i="9"/>
  <c r="I235" i="9"/>
  <c r="E235" i="9"/>
  <c r="D235" i="9"/>
  <c r="I234" i="9"/>
  <c r="E234" i="9"/>
  <c r="D234" i="9"/>
  <c r="I233" i="9"/>
  <c r="E233" i="9"/>
  <c r="D233" i="9"/>
  <c r="I232" i="9"/>
  <c r="E232" i="9"/>
  <c r="D232" i="9"/>
  <c r="I231" i="9"/>
  <c r="E231" i="9"/>
  <c r="D231" i="9"/>
  <c r="I230" i="9"/>
  <c r="E230" i="9"/>
  <c r="D230" i="9"/>
  <c r="I229" i="9"/>
  <c r="E229" i="9"/>
  <c r="D229" i="9"/>
  <c r="I228" i="9"/>
  <c r="E228" i="9"/>
  <c r="D228" i="9"/>
  <c r="I227" i="9"/>
  <c r="E227" i="9"/>
  <c r="D227" i="9"/>
  <c r="I226" i="9"/>
  <c r="E226" i="9"/>
  <c r="D226" i="9"/>
  <c r="I225" i="9"/>
  <c r="E225" i="9"/>
  <c r="D225" i="9"/>
  <c r="I224" i="9"/>
  <c r="E224" i="9"/>
  <c r="D224" i="9"/>
  <c r="I223" i="9"/>
  <c r="E223" i="9"/>
  <c r="D223" i="9"/>
  <c r="I222" i="9"/>
  <c r="E222" i="9"/>
  <c r="D222" i="9"/>
  <c r="I221" i="9"/>
  <c r="E221" i="9"/>
  <c r="D221" i="9"/>
  <c r="I220" i="9"/>
  <c r="E220" i="9"/>
  <c r="D220" i="9"/>
  <c r="I219" i="9"/>
  <c r="E219" i="9"/>
  <c r="D219" i="9"/>
  <c r="I218" i="9"/>
  <c r="E218" i="9"/>
  <c r="D218" i="9"/>
  <c r="I217" i="9"/>
  <c r="E217" i="9"/>
  <c r="D217" i="9"/>
  <c r="I216" i="9"/>
  <c r="E216" i="9"/>
  <c r="D216" i="9"/>
  <c r="I215" i="9"/>
  <c r="E215" i="9"/>
  <c r="D215" i="9"/>
  <c r="I214" i="9"/>
  <c r="E214" i="9"/>
  <c r="D214" i="9"/>
  <c r="I213" i="9"/>
  <c r="E213" i="9"/>
  <c r="D213" i="9"/>
  <c r="I212" i="9"/>
  <c r="E212" i="9"/>
  <c r="D212" i="9"/>
  <c r="I211" i="9"/>
  <c r="E211" i="9"/>
  <c r="D211" i="9"/>
  <c r="I210" i="9"/>
  <c r="E210" i="9"/>
  <c r="D210" i="9"/>
  <c r="I209" i="9"/>
  <c r="E209" i="9"/>
  <c r="D209" i="9"/>
  <c r="I208" i="9"/>
  <c r="E208" i="9"/>
  <c r="D208" i="9"/>
  <c r="I207" i="9"/>
  <c r="E207" i="9"/>
  <c r="D207" i="9"/>
  <c r="I206" i="9"/>
  <c r="E206" i="9"/>
  <c r="D206" i="9"/>
  <c r="I205" i="9"/>
  <c r="E205" i="9"/>
  <c r="D205" i="9"/>
  <c r="I204" i="9"/>
  <c r="E204" i="9"/>
  <c r="D204" i="9"/>
  <c r="I203" i="9"/>
  <c r="E203" i="9"/>
  <c r="D203" i="9"/>
  <c r="I202" i="9"/>
  <c r="E202" i="9"/>
  <c r="D202" i="9"/>
  <c r="I201" i="9"/>
  <c r="E201" i="9"/>
  <c r="D201" i="9"/>
  <c r="I200" i="9"/>
  <c r="E200" i="9"/>
  <c r="D200" i="9"/>
  <c r="I199" i="9"/>
  <c r="E199" i="9"/>
  <c r="D199" i="9"/>
  <c r="I198" i="9"/>
  <c r="E198" i="9"/>
  <c r="D198" i="9"/>
  <c r="I197" i="9"/>
  <c r="E197" i="9"/>
  <c r="D197" i="9"/>
  <c r="I196" i="9"/>
  <c r="E196" i="9"/>
  <c r="D196" i="9"/>
  <c r="I195" i="9"/>
  <c r="E195" i="9"/>
  <c r="D195" i="9"/>
  <c r="I194" i="9"/>
  <c r="E194" i="9"/>
  <c r="D194" i="9"/>
  <c r="I193" i="9"/>
  <c r="E193" i="9"/>
  <c r="D193" i="9"/>
  <c r="I192" i="9"/>
  <c r="E192" i="9"/>
  <c r="D192" i="9"/>
  <c r="I191" i="9"/>
  <c r="E191" i="9"/>
  <c r="D191" i="9"/>
  <c r="I190" i="9"/>
  <c r="E190" i="9"/>
  <c r="D190" i="9"/>
  <c r="I189" i="9"/>
  <c r="E189" i="9"/>
  <c r="D189" i="9"/>
  <c r="I188" i="9"/>
  <c r="E188" i="9"/>
  <c r="D188" i="9"/>
  <c r="I187" i="9"/>
  <c r="E187" i="9"/>
  <c r="D187" i="9"/>
  <c r="I186" i="9"/>
  <c r="E186" i="9"/>
  <c r="D186" i="9"/>
  <c r="I185" i="9"/>
  <c r="E185" i="9"/>
  <c r="D185" i="9"/>
  <c r="I184" i="9"/>
  <c r="E184" i="9"/>
  <c r="D184" i="9"/>
  <c r="I183" i="9"/>
  <c r="E183" i="9"/>
  <c r="D183" i="9"/>
  <c r="I182" i="9"/>
  <c r="E182" i="9"/>
  <c r="D182" i="9"/>
  <c r="I181" i="9"/>
  <c r="E181" i="9"/>
  <c r="D181" i="9"/>
  <c r="I180" i="9"/>
  <c r="E180" i="9"/>
  <c r="D180" i="9"/>
  <c r="I179" i="9"/>
  <c r="E179" i="9"/>
  <c r="D179" i="9"/>
  <c r="I178" i="9"/>
  <c r="E178" i="9"/>
  <c r="D178" i="9"/>
  <c r="I177" i="9"/>
  <c r="E177" i="9"/>
  <c r="D177" i="9"/>
  <c r="I176" i="9"/>
  <c r="E176" i="9"/>
  <c r="D176" i="9"/>
  <c r="I175" i="9"/>
  <c r="E175" i="9"/>
  <c r="D175" i="9"/>
  <c r="I174" i="9"/>
  <c r="E174" i="9"/>
  <c r="D174" i="9"/>
  <c r="I173" i="9"/>
  <c r="E173" i="9"/>
  <c r="D173" i="9"/>
  <c r="I172" i="9"/>
  <c r="E172" i="9"/>
  <c r="D172" i="9"/>
  <c r="I171" i="9"/>
  <c r="E171" i="9"/>
  <c r="D171" i="9"/>
  <c r="I170" i="9"/>
  <c r="E170" i="9"/>
  <c r="D170" i="9"/>
  <c r="I169" i="9"/>
  <c r="E169" i="9"/>
  <c r="D169" i="9"/>
  <c r="I168" i="9"/>
  <c r="E168" i="9"/>
  <c r="D168" i="9"/>
  <c r="I167" i="9"/>
  <c r="E167" i="9"/>
  <c r="D167" i="9"/>
  <c r="I166" i="9"/>
  <c r="E166" i="9"/>
  <c r="D166" i="9"/>
  <c r="I165" i="9"/>
  <c r="E165" i="9"/>
  <c r="D165" i="9"/>
  <c r="I164" i="9"/>
  <c r="E164" i="9"/>
  <c r="D164" i="9"/>
  <c r="I163" i="9"/>
  <c r="E163" i="9"/>
  <c r="D163" i="9"/>
  <c r="I162" i="9"/>
  <c r="E162" i="9"/>
  <c r="D162" i="9"/>
  <c r="I161" i="9"/>
  <c r="E161" i="9"/>
  <c r="D161" i="9"/>
  <c r="I160" i="9"/>
  <c r="E160" i="9"/>
  <c r="D160" i="9"/>
  <c r="I159" i="9"/>
  <c r="E159" i="9"/>
  <c r="D159" i="9"/>
  <c r="I158" i="9"/>
  <c r="E158" i="9"/>
  <c r="D158" i="9"/>
  <c r="I157" i="9"/>
  <c r="E157" i="9"/>
  <c r="D157" i="9"/>
  <c r="I156" i="9"/>
  <c r="E156" i="9"/>
  <c r="D156" i="9"/>
  <c r="I155" i="9"/>
  <c r="E155" i="9"/>
  <c r="D155" i="9"/>
  <c r="I154" i="9"/>
  <c r="E154" i="9"/>
  <c r="D154" i="9"/>
  <c r="I153" i="9"/>
  <c r="E153" i="9"/>
  <c r="D153" i="9"/>
  <c r="I152" i="9"/>
  <c r="E152" i="9"/>
  <c r="D152" i="9"/>
  <c r="I151" i="9"/>
  <c r="E151" i="9"/>
  <c r="D151" i="9"/>
  <c r="I150" i="9"/>
  <c r="E150" i="9"/>
  <c r="D150" i="9"/>
  <c r="I149" i="9"/>
  <c r="E149" i="9"/>
  <c r="D149" i="9"/>
  <c r="I148" i="9"/>
  <c r="E148" i="9"/>
  <c r="D148" i="9"/>
  <c r="I147" i="9"/>
  <c r="E147" i="9"/>
  <c r="D147" i="9"/>
  <c r="I146" i="9"/>
  <c r="E146" i="9"/>
  <c r="D146" i="9"/>
  <c r="I145" i="9"/>
  <c r="E145" i="9"/>
  <c r="D145" i="9"/>
  <c r="I144" i="9"/>
  <c r="E144" i="9"/>
  <c r="D144" i="9"/>
  <c r="I143" i="9"/>
  <c r="E143" i="9"/>
  <c r="D143" i="9"/>
  <c r="I142" i="9"/>
  <c r="E142" i="9"/>
  <c r="D142" i="9"/>
  <c r="I141" i="9"/>
  <c r="E141" i="9"/>
  <c r="D141" i="9"/>
  <c r="I140" i="9"/>
  <c r="E140" i="9"/>
  <c r="D140" i="9"/>
  <c r="I139" i="9"/>
  <c r="E139" i="9"/>
  <c r="D139" i="9"/>
  <c r="I138" i="9"/>
  <c r="E138" i="9"/>
  <c r="D138" i="9"/>
  <c r="I137" i="9"/>
  <c r="E137" i="9"/>
  <c r="D137" i="9"/>
  <c r="I136" i="9"/>
  <c r="E136" i="9"/>
  <c r="D136" i="9"/>
  <c r="I135" i="9"/>
  <c r="E135" i="9"/>
  <c r="D135" i="9"/>
  <c r="I134" i="9"/>
  <c r="E134" i="9"/>
  <c r="D134" i="9"/>
  <c r="I133" i="9"/>
  <c r="E133" i="9"/>
  <c r="D133" i="9"/>
  <c r="I132" i="9"/>
  <c r="E132" i="9"/>
  <c r="D132" i="9"/>
  <c r="I131" i="9"/>
  <c r="E131" i="9"/>
  <c r="D131" i="9"/>
  <c r="I130" i="9"/>
  <c r="E130" i="9"/>
  <c r="D130" i="9"/>
  <c r="I129" i="9"/>
  <c r="E129" i="9"/>
  <c r="D129" i="9"/>
  <c r="I128" i="9"/>
  <c r="E128" i="9"/>
  <c r="D128" i="9"/>
  <c r="I127" i="9"/>
  <c r="E127" i="9"/>
  <c r="D127" i="9"/>
  <c r="I126" i="9"/>
  <c r="E126" i="9"/>
  <c r="D126" i="9"/>
  <c r="I125" i="9"/>
  <c r="E125" i="9"/>
  <c r="D125" i="9"/>
  <c r="I124" i="9"/>
  <c r="E124" i="9"/>
  <c r="D124" i="9"/>
  <c r="I123" i="9"/>
  <c r="E123" i="9"/>
  <c r="D123" i="9"/>
  <c r="I122" i="9"/>
  <c r="E122" i="9"/>
  <c r="D122" i="9"/>
  <c r="I121" i="9"/>
  <c r="E121" i="9"/>
  <c r="D121" i="9"/>
  <c r="I120" i="9"/>
  <c r="E120" i="9"/>
  <c r="D120" i="9"/>
  <c r="I119" i="9"/>
  <c r="E119" i="9"/>
  <c r="D119" i="9"/>
  <c r="I118" i="9"/>
  <c r="E118" i="9"/>
  <c r="D118" i="9"/>
  <c r="I117" i="9"/>
  <c r="E117" i="9"/>
  <c r="D117" i="9"/>
  <c r="I116" i="9"/>
  <c r="E116" i="9"/>
  <c r="D116" i="9"/>
  <c r="I115" i="9"/>
  <c r="E115" i="9"/>
  <c r="D115" i="9"/>
  <c r="I114" i="9"/>
  <c r="E114" i="9"/>
  <c r="D114" i="9"/>
  <c r="I113" i="9"/>
  <c r="E113" i="9"/>
  <c r="D113" i="9"/>
  <c r="I112" i="9"/>
  <c r="E112" i="9"/>
  <c r="D112" i="9"/>
  <c r="I111" i="9"/>
  <c r="E111" i="9"/>
  <c r="D111" i="9"/>
  <c r="I110" i="9"/>
  <c r="E110" i="9"/>
  <c r="D110" i="9"/>
  <c r="I109" i="9"/>
  <c r="E109" i="9"/>
  <c r="D109" i="9"/>
  <c r="I108" i="9"/>
  <c r="E108" i="9"/>
  <c r="D108" i="9"/>
  <c r="I107" i="9"/>
  <c r="E107" i="9"/>
  <c r="D107" i="9"/>
  <c r="I106" i="9"/>
  <c r="E106" i="9"/>
  <c r="D106" i="9"/>
  <c r="I105" i="9"/>
  <c r="E105" i="9"/>
  <c r="D105" i="9"/>
  <c r="I104" i="9"/>
  <c r="E104" i="9"/>
  <c r="D104" i="9"/>
  <c r="I103" i="9"/>
  <c r="E103" i="9"/>
  <c r="D103" i="9"/>
  <c r="I102" i="9"/>
  <c r="E102" i="9"/>
  <c r="D102" i="9"/>
  <c r="I101" i="9"/>
  <c r="E101" i="9"/>
  <c r="D101" i="9"/>
  <c r="I100" i="9"/>
  <c r="E100" i="9"/>
  <c r="D100" i="9"/>
  <c r="I99" i="9"/>
  <c r="E99" i="9"/>
  <c r="D99" i="9"/>
  <c r="I98" i="9"/>
  <c r="E98" i="9"/>
  <c r="D98" i="9"/>
  <c r="I97" i="9"/>
  <c r="E97" i="9"/>
  <c r="D97" i="9"/>
  <c r="I96" i="9"/>
  <c r="E96" i="9"/>
  <c r="D96" i="9"/>
  <c r="I95" i="9"/>
  <c r="E95" i="9"/>
  <c r="D95" i="9"/>
  <c r="I94" i="9"/>
  <c r="E94" i="9"/>
  <c r="D94" i="9"/>
  <c r="I93" i="9"/>
  <c r="E93" i="9"/>
  <c r="D93" i="9"/>
  <c r="I92" i="9"/>
  <c r="E92" i="9"/>
  <c r="D92" i="9"/>
  <c r="I91" i="9"/>
  <c r="E91" i="9"/>
  <c r="D91" i="9"/>
  <c r="I90" i="9"/>
  <c r="E90" i="9"/>
  <c r="D90" i="9"/>
  <c r="I89" i="9"/>
  <c r="E89" i="9"/>
  <c r="D89" i="9"/>
  <c r="I88" i="9"/>
  <c r="E88" i="9"/>
  <c r="D88" i="9"/>
  <c r="I87" i="9"/>
  <c r="E87" i="9"/>
  <c r="D87" i="9"/>
  <c r="I86" i="9"/>
  <c r="E86" i="9"/>
  <c r="D86" i="9"/>
  <c r="I85" i="9"/>
  <c r="E85" i="9"/>
  <c r="D85" i="9"/>
  <c r="I84" i="9"/>
  <c r="E84" i="9"/>
  <c r="D84" i="9"/>
  <c r="I83" i="9"/>
  <c r="E83" i="9"/>
  <c r="D83" i="9"/>
  <c r="I82" i="9"/>
  <c r="E82" i="9"/>
  <c r="D82" i="9"/>
  <c r="I81" i="9"/>
  <c r="E81" i="9"/>
  <c r="D81" i="9"/>
  <c r="I80" i="9"/>
  <c r="E80" i="9"/>
  <c r="D80" i="9"/>
  <c r="I79" i="9"/>
  <c r="E79" i="9"/>
  <c r="D79" i="9"/>
  <c r="I78" i="9"/>
  <c r="E78" i="9"/>
  <c r="D78" i="9"/>
  <c r="I77" i="9"/>
  <c r="E77" i="9"/>
  <c r="D77" i="9"/>
  <c r="I76" i="9"/>
  <c r="E76" i="9"/>
  <c r="D76" i="9"/>
  <c r="I75" i="9"/>
  <c r="E75" i="9"/>
  <c r="D75" i="9"/>
  <c r="I74" i="9"/>
  <c r="E74" i="9"/>
  <c r="D74" i="9"/>
  <c r="I73" i="9"/>
  <c r="E73" i="9"/>
  <c r="D73" i="9"/>
  <c r="I72" i="9"/>
  <c r="E72" i="9"/>
  <c r="D72" i="9"/>
  <c r="I71" i="9"/>
  <c r="E71" i="9"/>
  <c r="D71" i="9"/>
  <c r="I70" i="9"/>
  <c r="E70" i="9"/>
  <c r="D70" i="9"/>
  <c r="I69" i="9"/>
  <c r="E69" i="9"/>
  <c r="D69" i="9"/>
  <c r="I68" i="9"/>
  <c r="E68" i="9"/>
  <c r="D68" i="9"/>
  <c r="I67" i="9"/>
  <c r="E67" i="9"/>
  <c r="D67" i="9"/>
  <c r="I66" i="9"/>
  <c r="E66" i="9"/>
  <c r="D66" i="9"/>
  <c r="I65" i="9"/>
  <c r="E65" i="9"/>
  <c r="D65" i="9"/>
  <c r="I64" i="9"/>
  <c r="E64" i="9"/>
  <c r="D64" i="9"/>
  <c r="I63" i="9"/>
  <c r="E63" i="9"/>
  <c r="D63" i="9"/>
  <c r="I62" i="9"/>
  <c r="E62" i="9"/>
  <c r="D62" i="9"/>
  <c r="I61" i="9"/>
  <c r="E61" i="9"/>
  <c r="D61" i="9"/>
  <c r="I60" i="9"/>
  <c r="E60" i="9"/>
  <c r="D60" i="9"/>
  <c r="I59" i="9"/>
  <c r="E59" i="9"/>
  <c r="D59" i="9"/>
  <c r="I58" i="9"/>
  <c r="E58" i="9"/>
  <c r="D58" i="9"/>
  <c r="I57" i="9"/>
  <c r="E57" i="9"/>
  <c r="D57" i="9"/>
  <c r="I56" i="9"/>
  <c r="E56" i="9"/>
  <c r="D56" i="9"/>
  <c r="I55" i="9"/>
  <c r="E55" i="9"/>
  <c r="D55" i="9"/>
  <c r="I54" i="9"/>
  <c r="E54" i="9"/>
  <c r="D54" i="9"/>
  <c r="I53" i="9"/>
  <c r="E53" i="9"/>
  <c r="D53" i="9"/>
  <c r="I52" i="9"/>
  <c r="E52" i="9"/>
  <c r="D52" i="9"/>
  <c r="I51" i="9"/>
  <c r="E51" i="9"/>
  <c r="D51" i="9"/>
  <c r="I50" i="9"/>
  <c r="E50" i="9"/>
  <c r="D50" i="9"/>
  <c r="I49" i="9"/>
  <c r="E49" i="9"/>
  <c r="D49" i="9"/>
  <c r="I48" i="9"/>
  <c r="E48" i="9"/>
  <c r="D48" i="9"/>
  <c r="I47" i="9"/>
  <c r="E47" i="9"/>
  <c r="D47" i="9"/>
  <c r="I46" i="9"/>
  <c r="E46" i="9"/>
  <c r="D46" i="9"/>
  <c r="I45" i="9"/>
  <c r="E45" i="9"/>
  <c r="D45" i="9"/>
  <c r="I44" i="9"/>
  <c r="E44" i="9"/>
  <c r="D44" i="9"/>
  <c r="I43" i="9"/>
  <c r="E43" i="9"/>
  <c r="D43" i="9"/>
  <c r="I42" i="9"/>
  <c r="E42" i="9"/>
  <c r="D42" i="9"/>
  <c r="I41" i="9"/>
  <c r="E41" i="9"/>
  <c r="D41" i="9"/>
  <c r="I40" i="9"/>
  <c r="E40" i="9"/>
  <c r="D40" i="9"/>
  <c r="I39" i="9"/>
  <c r="E39" i="9"/>
  <c r="D39" i="9"/>
  <c r="I38" i="9"/>
  <c r="E38" i="9"/>
  <c r="D38" i="9"/>
  <c r="I37" i="9"/>
  <c r="E37" i="9"/>
  <c r="D37" i="9"/>
  <c r="I36" i="9"/>
  <c r="E36" i="9"/>
  <c r="D36" i="9"/>
  <c r="I35" i="9"/>
  <c r="E35" i="9"/>
  <c r="D35" i="9"/>
  <c r="I34" i="9"/>
  <c r="E34" i="9"/>
  <c r="D34" i="9"/>
  <c r="I33" i="9"/>
  <c r="E33" i="9"/>
  <c r="D33" i="9"/>
  <c r="I32" i="9"/>
  <c r="E32" i="9"/>
  <c r="D32" i="9"/>
  <c r="I31" i="9"/>
  <c r="E31" i="9"/>
  <c r="D31" i="9"/>
  <c r="I30" i="9"/>
  <c r="E30" i="9"/>
  <c r="D30" i="9"/>
  <c r="I29" i="9"/>
  <c r="E29" i="9"/>
  <c r="D29" i="9"/>
  <c r="I28" i="9"/>
  <c r="E28" i="9"/>
  <c r="D28" i="9"/>
  <c r="I27" i="9"/>
  <c r="E27" i="9"/>
  <c r="D27" i="9"/>
  <c r="I26" i="9"/>
  <c r="E26" i="9"/>
  <c r="D26" i="9"/>
  <c r="I25" i="9"/>
  <c r="E25" i="9"/>
  <c r="D25" i="9"/>
  <c r="I24" i="9"/>
  <c r="E24" i="9"/>
  <c r="D24" i="9"/>
  <c r="I23" i="9"/>
  <c r="E23" i="9"/>
  <c r="D23" i="9"/>
  <c r="I22" i="9"/>
  <c r="E22" i="9"/>
  <c r="D22" i="9"/>
  <c r="I21" i="9"/>
  <c r="E21" i="9"/>
  <c r="D21" i="9"/>
  <c r="I20" i="9"/>
  <c r="E20" i="9"/>
  <c r="D20" i="9"/>
  <c r="I19" i="9"/>
  <c r="E19" i="9"/>
  <c r="D19" i="9"/>
  <c r="I18" i="9"/>
  <c r="E18" i="9"/>
  <c r="D18" i="9"/>
  <c r="I17" i="9"/>
  <c r="E17" i="9"/>
  <c r="D17" i="9"/>
  <c r="I16" i="9"/>
  <c r="E16" i="9"/>
  <c r="D16" i="9"/>
  <c r="I15" i="9"/>
  <c r="E15" i="9"/>
  <c r="D15" i="9"/>
  <c r="I14" i="9"/>
  <c r="E14" i="9"/>
  <c r="D14" i="9"/>
  <c r="I13" i="9"/>
  <c r="E13" i="9"/>
  <c r="D13" i="9"/>
  <c r="I12" i="9"/>
  <c r="E12" i="9"/>
  <c r="D12" i="9"/>
  <c r="I11" i="9"/>
  <c r="E11" i="9"/>
  <c r="D11" i="9"/>
  <c r="I10" i="9"/>
  <c r="E10" i="9"/>
  <c r="D10" i="9"/>
  <c r="I9" i="9"/>
  <c r="E9" i="9"/>
  <c r="D9" i="9"/>
  <c r="I8" i="9"/>
  <c r="E8" i="9"/>
  <c r="D8" i="9"/>
  <c r="I7" i="9"/>
  <c r="E7" i="9"/>
  <c r="D7" i="9"/>
  <c r="I6" i="9"/>
  <c r="E6" i="9"/>
  <c r="D6" i="9"/>
  <c r="I5" i="9"/>
  <c r="E5" i="9"/>
  <c r="D5" i="9"/>
  <c r="I4" i="9"/>
  <c r="E4" i="9"/>
  <c r="D4" i="9"/>
  <c r="I3" i="9"/>
  <c r="E3" i="9"/>
  <c r="D3" i="9"/>
  <c r="I2" i="9"/>
  <c r="E2" i="9"/>
  <c r="D2" i="9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2" i="5"/>
  <c r="A13" i="5"/>
  <c r="H13" i="5" s="1"/>
  <c r="A14" i="5"/>
  <c r="A15" i="5"/>
  <c r="H15" i="5" s="1"/>
  <c r="A16" i="5"/>
  <c r="H16" i="5" s="1"/>
  <c r="A17" i="5"/>
  <c r="A18" i="5"/>
  <c r="A19" i="5"/>
  <c r="A20" i="5"/>
  <c r="A21" i="5"/>
  <c r="H21" i="5" s="1"/>
  <c r="A22" i="5"/>
  <c r="A23" i="5"/>
  <c r="H23" i="5" s="1"/>
  <c r="A24" i="5"/>
  <c r="H24" i="5" s="1"/>
  <c r="A25" i="5"/>
  <c r="A26" i="5"/>
  <c r="A27" i="5"/>
  <c r="A28" i="5"/>
  <c r="A29" i="5"/>
  <c r="H29" i="5" s="1"/>
  <c r="A30" i="5"/>
  <c r="A31" i="5"/>
  <c r="H31" i="5" s="1"/>
  <c r="A32" i="5"/>
  <c r="H32" i="5" s="1"/>
  <c r="A33" i="5"/>
  <c r="A34" i="5"/>
  <c r="A35" i="5"/>
  <c r="A36" i="5"/>
  <c r="A37" i="5"/>
  <c r="H37" i="5" s="1"/>
  <c r="A38" i="5"/>
  <c r="A39" i="5"/>
  <c r="H39" i="5" s="1"/>
  <c r="A40" i="5"/>
  <c r="H40" i="5" s="1"/>
  <c r="A41" i="5"/>
  <c r="A42" i="5"/>
  <c r="A43" i="5"/>
  <c r="A44" i="5"/>
  <c r="A45" i="5"/>
  <c r="H45" i="5" s="1"/>
  <c r="A46" i="5"/>
  <c r="A47" i="5"/>
  <c r="H47" i="5" s="1"/>
  <c r="A48" i="5"/>
  <c r="H48" i="5" s="1"/>
  <c r="A49" i="5"/>
  <c r="A50" i="5"/>
  <c r="A51" i="5"/>
  <c r="A52" i="5"/>
  <c r="A53" i="5"/>
  <c r="H53" i="5" s="1"/>
  <c r="A54" i="5"/>
  <c r="A55" i="5"/>
  <c r="H55" i="5" s="1"/>
  <c r="A56" i="5"/>
  <c r="H56" i="5" s="1"/>
  <c r="A57" i="5"/>
  <c r="A58" i="5"/>
  <c r="A59" i="5"/>
  <c r="A60" i="5"/>
  <c r="A61" i="5"/>
  <c r="H61" i="5" s="1"/>
  <c r="A62" i="5"/>
  <c r="A63" i="5"/>
  <c r="H63" i="5" s="1"/>
  <c r="A64" i="5"/>
  <c r="H64" i="5" s="1"/>
  <c r="A65" i="5"/>
  <c r="A66" i="5"/>
  <c r="A67" i="5"/>
  <c r="A68" i="5"/>
  <c r="A69" i="5"/>
  <c r="H69" i="5" s="1"/>
  <c r="A70" i="5"/>
  <c r="A71" i="5"/>
  <c r="H71" i="5" s="1"/>
  <c r="A72" i="5"/>
  <c r="H72" i="5" s="1"/>
  <c r="A73" i="5"/>
  <c r="A74" i="5"/>
  <c r="A75" i="5"/>
  <c r="A76" i="5"/>
  <c r="A77" i="5"/>
  <c r="H77" i="5" s="1"/>
  <c r="A78" i="5"/>
  <c r="A79" i="5"/>
  <c r="H79" i="5" s="1"/>
  <c r="A80" i="5"/>
  <c r="H80" i="5" s="1"/>
  <c r="A81" i="5"/>
  <c r="A82" i="5"/>
  <c r="A83" i="5"/>
  <c r="A84" i="5"/>
  <c r="A85" i="5"/>
  <c r="H85" i="5" s="1"/>
  <c r="A86" i="5"/>
  <c r="A87" i="5"/>
  <c r="H87" i="5" s="1"/>
  <c r="A88" i="5"/>
  <c r="H88" i="5" s="1"/>
  <c r="A89" i="5"/>
  <c r="A90" i="5"/>
  <c r="A91" i="5"/>
  <c r="A92" i="5"/>
  <c r="A93" i="5"/>
  <c r="H93" i="5" s="1"/>
  <c r="A94" i="5"/>
  <c r="A95" i="5"/>
  <c r="H95" i="5" s="1"/>
  <c r="A96" i="5"/>
  <c r="H96" i="5" s="1"/>
  <c r="A97" i="5"/>
  <c r="A98" i="5"/>
  <c r="A99" i="5"/>
  <c r="A100" i="5"/>
  <c r="A101" i="5"/>
  <c r="H101" i="5" s="1"/>
  <c r="A102" i="5"/>
  <c r="A103" i="5"/>
  <c r="H103" i="5" s="1"/>
  <c r="A104" i="5"/>
  <c r="H104" i="5" s="1"/>
  <c r="A105" i="5"/>
  <c r="A106" i="5"/>
  <c r="A107" i="5"/>
  <c r="A108" i="5"/>
  <c r="A109" i="5"/>
  <c r="H109" i="5" s="1"/>
  <c r="A110" i="5"/>
  <c r="A111" i="5"/>
  <c r="H111" i="5" s="1"/>
  <c r="A112" i="5"/>
  <c r="H112" i="5" s="1"/>
  <c r="A113" i="5"/>
  <c r="A114" i="5"/>
  <c r="A115" i="5"/>
  <c r="A116" i="5"/>
  <c r="A117" i="5"/>
  <c r="H117" i="5" s="1"/>
  <c r="A118" i="5"/>
  <c r="A119" i="5"/>
  <c r="H119" i="5" s="1"/>
  <c r="A120" i="5"/>
  <c r="H120" i="5" s="1"/>
  <c r="A121" i="5"/>
  <c r="A122" i="5"/>
  <c r="A123" i="5"/>
  <c r="A124" i="5"/>
  <c r="A125" i="5"/>
  <c r="H125" i="5" s="1"/>
  <c r="A126" i="5"/>
  <c r="A127" i="5"/>
  <c r="H127" i="5" s="1"/>
  <c r="A128" i="5"/>
  <c r="H128" i="5" s="1"/>
  <c r="A129" i="5"/>
  <c r="A130" i="5"/>
  <c r="A131" i="5"/>
  <c r="A132" i="5"/>
  <c r="A133" i="5"/>
  <c r="H133" i="5" s="1"/>
  <c r="A134" i="5"/>
  <c r="A135" i="5"/>
  <c r="H135" i="5" s="1"/>
  <c r="A136" i="5"/>
  <c r="H136" i="5" s="1"/>
  <c r="A137" i="5"/>
  <c r="A138" i="5"/>
  <c r="A139" i="5"/>
  <c r="A140" i="5"/>
  <c r="A141" i="5"/>
  <c r="H141" i="5" s="1"/>
  <c r="A142" i="5"/>
  <c r="A143" i="5"/>
  <c r="H143" i="5" s="1"/>
  <c r="A144" i="5"/>
  <c r="H144" i="5" s="1"/>
  <c r="A145" i="5"/>
  <c r="A146" i="5"/>
  <c r="A147" i="5"/>
  <c r="A148" i="5"/>
  <c r="A149" i="5"/>
  <c r="H149" i="5" s="1"/>
  <c r="A150" i="5"/>
  <c r="A151" i="5"/>
  <c r="H151" i="5" s="1"/>
  <c r="A152" i="5"/>
  <c r="H152" i="5" s="1"/>
  <c r="A153" i="5"/>
  <c r="A154" i="5"/>
  <c r="A155" i="5"/>
  <c r="A156" i="5"/>
  <c r="A157" i="5"/>
  <c r="H157" i="5" s="1"/>
  <c r="A158" i="5"/>
  <c r="A159" i="5"/>
  <c r="H159" i="5" s="1"/>
  <c r="A160" i="5"/>
  <c r="H160" i="5" s="1"/>
  <c r="A161" i="5"/>
  <c r="A162" i="5"/>
  <c r="A163" i="5"/>
  <c r="A164" i="5"/>
  <c r="A165" i="5"/>
  <c r="H165" i="5" s="1"/>
  <c r="A166" i="5"/>
  <c r="A167" i="5"/>
  <c r="H167" i="5" s="1"/>
  <c r="A168" i="5"/>
  <c r="H168" i="5" s="1"/>
  <c r="A169" i="5"/>
  <c r="A170" i="5"/>
  <c r="A171" i="5"/>
  <c r="A172" i="5"/>
  <c r="A173" i="5"/>
  <c r="H173" i="5" s="1"/>
  <c r="A174" i="5"/>
  <c r="A175" i="5"/>
  <c r="H175" i="5" s="1"/>
  <c r="A176" i="5"/>
  <c r="H176" i="5" s="1"/>
  <c r="A177" i="5"/>
  <c r="A178" i="5"/>
  <c r="A179" i="5"/>
  <c r="A180" i="5"/>
  <c r="A181" i="5"/>
  <c r="H181" i="5" s="1"/>
  <c r="A182" i="5"/>
  <c r="A183" i="5"/>
  <c r="H183" i="5" s="1"/>
  <c r="A184" i="5"/>
  <c r="H184" i="5" s="1"/>
  <c r="A185" i="5"/>
  <c r="A186" i="5"/>
  <c r="A187" i="5"/>
  <c r="A188" i="5"/>
  <c r="A189" i="5"/>
  <c r="H189" i="5" s="1"/>
  <c r="A190" i="5"/>
  <c r="A191" i="5"/>
  <c r="H191" i="5" s="1"/>
  <c r="A12" i="5"/>
  <c r="H12" i="5" s="1"/>
  <c r="D2" i="1"/>
  <c r="D265" i="2"/>
  <c r="E265" i="2"/>
  <c r="I265" i="2"/>
  <c r="D266" i="2"/>
  <c r="E266" i="2"/>
  <c r="I266" i="2"/>
  <c r="D267" i="2"/>
  <c r="E267" i="2"/>
  <c r="I267" i="2"/>
  <c r="D268" i="2"/>
  <c r="E268" i="2"/>
  <c r="I268" i="2"/>
  <c r="D269" i="2"/>
  <c r="E269" i="2"/>
  <c r="I269" i="2"/>
  <c r="D270" i="2"/>
  <c r="E270" i="2"/>
  <c r="I270" i="2"/>
  <c r="D271" i="2"/>
  <c r="E271" i="2"/>
  <c r="I271" i="2"/>
  <c r="D272" i="2"/>
  <c r="E272" i="2"/>
  <c r="I272" i="2"/>
  <c r="D273" i="2"/>
  <c r="E273" i="2"/>
  <c r="I273" i="2"/>
  <c r="D274" i="2"/>
  <c r="E274" i="2"/>
  <c r="I274" i="2"/>
  <c r="D296" i="1"/>
  <c r="E296" i="1"/>
  <c r="I296" i="1"/>
  <c r="D297" i="1"/>
  <c r="E297" i="1"/>
  <c r="I297" i="1"/>
  <c r="D298" i="1"/>
  <c r="E298" i="1"/>
  <c r="I298" i="1"/>
  <c r="D299" i="1"/>
  <c r="E299" i="1"/>
  <c r="I299" i="1"/>
  <c r="D300" i="1"/>
  <c r="E300" i="1"/>
  <c r="I300" i="1"/>
  <c r="D301" i="1"/>
  <c r="E301" i="1"/>
  <c r="I301" i="1"/>
  <c r="D302" i="1"/>
  <c r="E302" i="1"/>
  <c r="I302" i="1"/>
  <c r="D303" i="1"/>
  <c r="E303" i="1"/>
  <c r="I303" i="1"/>
  <c r="D304" i="1"/>
  <c r="E304" i="1"/>
  <c r="I304" i="1"/>
  <c r="D305" i="1"/>
  <c r="E305" i="1"/>
  <c r="I305" i="1"/>
  <c r="D306" i="1"/>
  <c r="E306" i="1"/>
  <c r="I306" i="1"/>
  <c r="I2" i="1"/>
  <c r="C15" i="8" l="1"/>
  <c r="C14" i="8"/>
  <c r="F331" i="1"/>
  <c r="G331" i="1" s="1"/>
  <c r="H331" i="1" s="1"/>
  <c r="F318" i="1"/>
  <c r="G318" i="1" s="1"/>
  <c r="H318" i="1" s="1"/>
  <c r="F320" i="1"/>
  <c r="G320" i="1" s="1"/>
  <c r="H320" i="1" s="1"/>
  <c r="F337" i="1"/>
  <c r="G337" i="1" s="1"/>
  <c r="H337" i="1" s="1"/>
  <c r="F332" i="1"/>
  <c r="G332" i="1" s="1"/>
  <c r="H332" i="1" s="1"/>
  <c r="F329" i="1"/>
  <c r="G329" i="1" s="1"/>
  <c r="H329" i="1" s="1"/>
  <c r="F319" i="1"/>
  <c r="G319" i="1" s="1"/>
  <c r="H319" i="1" s="1"/>
  <c r="F316" i="1"/>
  <c r="G316" i="1" s="1"/>
  <c r="H316" i="1" s="1"/>
  <c r="F321" i="1"/>
  <c r="G321" i="1" s="1"/>
  <c r="H321" i="1" s="1"/>
  <c r="F330" i="1"/>
  <c r="G330" i="1" s="1"/>
  <c r="H330" i="1" s="1"/>
  <c r="F322" i="1"/>
  <c r="G322" i="1" s="1"/>
  <c r="H322" i="1" s="1"/>
  <c r="F334" i="1"/>
  <c r="G334" i="1" s="1"/>
  <c r="H334" i="1" s="1"/>
  <c r="F326" i="1"/>
  <c r="G326" i="1" s="1"/>
  <c r="H326" i="1" s="1"/>
  <c r="H178" i="5"/>
  <c r="H162" i="5"/>
  <c r="H138" i="5"/>
  <c r="H122" i="5"/>
  <c r="H106" i="5"/>
  <c r="H82" i="5"/>
  <c r="H66" i="5"/>
  <c r="H50" i="5"/>
  <c r="H34" i="5"/>
  <c r="H26" i="5"/>
  <c r="H186" i="5"/>
  <c r="H170" i="5"/>
  <c r="H154" i="5"/>
  <c r="H146" i="5"/>
  <c r="H130" i="5"/>
  <c r="H114" i="5"/>
  <c r="H98" i="5"/>
  <c r="H90" i="5"/>
  <c r="H74" i="5"/>
  <c r="H58" i="5"/>
  <c r="H42" i="5"/>
  <c r="H18" i="5"/>
  <c r="H185" i="5"/>
  <c r="H177" i="5"/>
  <c r="H169" i="5"/>
  <c r="H161" i="5"/>
  <c r="H153" i="5"/>
  <c r="H145" i="5"/>
  <c r="H137" i="5"/>
  <c r="H129" i="5"/>
  <c r="H121" i="5"/>
  <c r="H113" i="5"/>
  <c r="H105" i="5"/>
  <c r="H97" i="5"/>
  <c r="H89" i="5"/>
  <c r="H81" i="5"/>
  <c r="H73" i="5"/>
  <c r="H65" i="5"/>
  <c r="H57" i="5"/>
  <c r="H49" i="5"/>
  <c r="H41" i="5"/>
  <c r="H33" i="5"/>
  <c r="H25" i="5"/>
  <c r="H17" i="5"/>
  <c r="H190" i="5"/>
  <c r="H182" i="5"/>
  <c r="H174" i="5"/>
  <c r="H166" i="5"/>
  <c r="H158" i="5"/>
  <c r="H150" i="5"/>
  <c r="H142" i="5"/>
  <c r="H134" i="5"/>
  <c r="H126" i="5"/>
  <c r="H118" i="5"/>
  <c r="H110" i="5"/>
  <c r="H102" i="5"/>
  <c r="H94" i="5"/>
  <c r="H86" i="5"/>
  <c r="H78" i="5"/>
  <c r="H70" i="5"/>
  <c r="H62" i="5"/>
  <c r="H54" i="5"/>
  <c r="H46" i="5"/>
  <c r="H38" i="5"/>
  <c r="H30" i="5"/>
  <c r="H22" i="5"/>
  <c r="H14" i="5"/>
  <c r="H188" i="5"/>
  <c r="H180" i="5"/>
  <c r="H172" i="5"/>
  <c r="H164" i="5"/>
  <c r="H156" i="5"/>
  <c r="H148" i="5"/>
  <c r="H140" i="5"/>
  <c r="H132" i="5"/>
  <c r="H124" i="5"/>
  <c r="H116" i="5"/>
  <c r="H108" i="5"/>
  <c r="H100" i="5"/>
  <c r="H92" i="5"/>
  <c r="H84" i="5"/>
  <c r="H76" i="5"/>
  <c r="H68" i="5"/>
  <c r="H60" i="5"/>
  <c r="H52" i="5"/>
  <c r="H44" i="5"/>
  <c r="H36" i="5"/>
  <c r="H28" i="5"/>
  <c r="H20" i="5"/>
  <c r="H187" i="5"/>
  <c r="H179" i="5"/>
  <c r="H171" i="5"/>
  <c r="H163" i="5"/>
  <c r="H155" i="5"/>
  <c r="H147" i="5"/>
  <c r="H139" i="5"/>
  <c r="H131" i="5"/>
  <c r="H123" i="5"/>
  <c r="H115" i="5"/>
  <c r="H107" i="5"/>
  <c r="H99" i="5"/>
  <c r="H91" i="5"/>
  <c r="H83" i="5"/>
  <c r="H75" i="5"/>
  <c r="H67" i="5"/>
  <c r="H59" i="5"/>
  <c r="H51" i="5"/>
  <c r="H43" i="5"/>
  <c r="H35" i="5"/>
  <c r="H27" i="5"/>
  <c r="H19" i="5"/>
  <c r="D118" i="1"/>
  <c r="E118" i="1"/>
  <c r="I118" i="1"/>
  <c r="D119" i="1"/>
  <c r="E119" i="1"/>
  <c r="I119" i="1"/>
  <c r="D120" i="1"/>
  <c r="E120" i="1"/>
  <c r="I120" i="1"/>
  <c r="D121" i="1"/>
  <c r="E121" i="1"/>
  <c r="I121" i="1"/>
  <c r="D122" i="1"/>
  <c r="E122" i="1"/>
  <c r="I122" i="1"/>
  <c r="D123" i="1"/>
  <c r="E123" i="1"/>
  <c r="I123" i="1"/>
  <c r="D124" i="1"/>
  <c r="E124" i="1"/>
  <c r="I124" i="1"/>
  <c r="D125" i="1"/>
  <c r="E125" i="1"/>
  <c r="I125" i="1"/>
  <c r="D126" i="1"/>
  <c r="E126" i="1"/>
  <c r="I126" i="1"/>
  <c r="D127" i="1"/>
  <c r="E127" i="1"/>
  <c r="I127" i="1"/>
  <c r="D128" i="1"/>
  <c r="E128" i="1"/>
  <c r="I128" i="1"/>
  <c r="D129" i="1"/>
  <c r="E129" i="1"/>
  <c r="I129" i="1"/>
  <c r="D130" i="1"/>
  <c r="E130" i="1"/>
  <c r="I130" i="1"/>
  <c r="D131" i="1"/>
  <c r="E131" i="1"/>
  <c r="I131" i="1"/>
  <c r="D132" i="1"/>
  <c r="E132" i="1"/>
  <c r="I132" i="1"/>
  <c r="D133" i="1"/>
  <c r="E133" i="1"/>
  <c r="I133" i="1"/>
  <c r="D134" i="1"/>
  <c r="E134" i="1"/>
  <c r="I134" i="1"/>
  <c r="D135" i="1"/>
  <c r="E135" i="1"/>
  <c r="I135" i="1"/>
  <c r="D136" i="1"/>
  <c r="E136" i="1"/>
  <c r="I136" i="1"/>
  <c r="D137" i="1"/>
  <c r="E137" i="1"/>
  <c r="I137" i="1"/>
  <c r="D138" i="1"/>
  <c r="E138" i="1"/>
  <c r="I138" i="1"/>
  <c r="D139" i="1"/>
  <c r="E139" i="1"/>
  <c r="I139" i="1"/>
  <c r="D140" i="1"/>
  <c r="E140" i="1"/>
  <c r="I140" i="1"/>
  <c r="D141" i="1"/>
  <c r="E141" i="1"/>
  <c r="I141" i="1"/>
  <c r="D142" i="1"/>
  <c r="E142" i="1"/>
  <c r="I142" i="1"/>
  <c r="D143" i="1"/>
  <c r="E143" i="1"/>
  <c r="I143" i="1"/>
  <c r="D144" i="1"/>
  <c r="E144" i="1"/>
  <c r="I144" i="1"/>
  <c r="D145" i="1"/>
  <c r="E145" i="1"/>
  <c r="I145" i="1"/>
  <c r="D146" i="1"/>
  <c r="E146" i="1"/>
  <c r="I146" i="1"/>
  <c r="D147" i="1"/>
  <c r="E147" i="1"/>
  <c r="I147" i="1"/>
  <c r="D148" i="1"/>
  <c r="E148" i="1"/>
  <c r="I148" i="1"/>
  <c r="D149" i="1"/>
  <c r="E149" i="1"/>
  <c r="I149" i="1"/>
  <c r="D150" i="1"/>
  <c r="E150" i="1"/>
  <c r="I150" i="1"/>
  <c r="D151" i="1"/>
  <c r="E151" i="1"/>
  <c r="I151" i="1"/>
  <c r="D152" i="1"/>
  <c r="E152" i="1"/>
  <c r="I152" i="1"/>
  <c r="D153" i="1"/>
  <c r="E153" i="1"/>
  <c r="I153" i="1"/>
  <c r="D154" i="1"/>
  <c r="E154" i="1"/>
  <c r="I154" i="1"/>
  <c r="D155" i="1"/>
  <c r="E155" i="1"/>
  <c r="I155" i="1"/>
  <c r="D156" i="1"/>
  <c r="E156" i="1"/>
  <c r="I156" i="1"/>
  <c r="D157" i="1"/>
  <c r="E157" i="1"/>
  <c r="I157" i="1"/>
  <c r="D158" i="1"/>
  <c r="E158" i="1"/>
  <c r="I158" i="1"/>
  <c r="D159" i="1"/>
  <c r="E159" i="1"/>
  <c r="I159" i="1"/>
  <c r="D160" i="1"/>
  <c r="E160" i="1"/>
  <c r="I160" i="1"/>
  <c r="D161" i="1"/>
  <c r="E161" i="1"/>
  <c r="I161" i="1"/>
  <c r="D162" i="1"/>
  <c r="E162" i="1"/>
  <c r="I162" i="1"/>
  <c r="D163" i="1"/>
  <c r="E163" i="1"/>
  <c r="I163" i="1"/>
  <c r="D164" i="1"/>
  <c r="E164" i="1"/>
  <c r="I164" i="1"/>
  <c r="D165" i="1"/>
  <c r="E165" i="1"/>
  <c r="I165" i="1"/>
  <c r="D166" i="1"/>
  <c r="E166" i="1"/>
  <c r="I166" i="1"/>
  <c r="D167" i="1"/>
  <c r="E167" i="1"/>
  <c r="I167" i="1"/>
  <c r="D168" i="1"/>
  <c r="E168" i="1"/>
  <c r="I168" i="1"/>
  <c r="D169" i="1"/>
  <c r="E169" i="1"/>
  <c r="I169" i="1"/>
  <c r="D170" i="1"/>
  <c r="E170" i="1"/>
  <c r="I170" i="1"/>
  <c r="D171" i="1"/>
  <c r="E171" i="1"/>
  <c r="I171" i="1"/>
  <c r="D172" i="1"/>
  <c r="E172" i="1"/>
  <c r="I172" i="1"/>
  <c r="D173" i="1"/>
  <c r="E173" i="1"/>
  <c r="I173" i="1"/>
  <c r="D174" i="1"/>
  <c r="E174" i="1"/>
  <c r="I174" i="1"/>
  <c r="D175" i="1"/>
  <c r="E175" i="1"/>
  <c r="I175" i="1"/>
  <c r="D176" i="1"/>
  <c r="E176" i="1"/>
  <c r="I176" i="1"/>
  <c r="D177" i="1"/>
  <c r="E177" i="1"/>
  <c r="I177" i="1"/>
  <c r="D178" i="1"/>
  <c r="E178" i="1"/>
  <c r="I178" i="1"/>
  <c r="D179" i="1"/>
  <c r="E179" i="1"/>
  <c r="I179" i="1"/>
  <c r="D180" i="1"/>
  <c r="E180" i="1"/>
  <c r="I180" i="1"/>
  <c r="D181" i="1"/>
  <c r="E181" i="1"/>
  <c r="I181" i="1"/>
  <c r="D182" i="1"/>
  <c r="E182" i="1"/>
  <c r="I182" i="1"/>
  <c r="D183" i="1"/>
  <c r="E183" i="1"/>
  <c r="I183" i="1"/>
  <c r="D184" i="1"/>
  <c r="E184" i="1"/>
  <c r="I184" i="1"/>
  <c r="D185" i="1"/>
  <c r="E185" i="1"/>
  <c r="I185" i="1"/>
  <c r="D186" i="1"/>
  <c r="E186" i="1"/>
  <c r="I186" i="1"/>
  <c r="D187" i="1"/>
  <c r="E187" i="1"/>
  <c r="I187" i="1"/>
  <c r="D188" i="1"/>
  <c r="E188" i="1"/>
  <c r="I188" i="1"/>
  <c r="D189" i="1"/>
  <c r="E189" i="1"/>
  <c r="I189" i="1"/>
  <c r="D190" i="1"/>
  <c r="E190" i="1"/>
  <c r="I190" i="1"/>
  <c r="D191" i="1"/>
  <c r="E191" i="1"/>
  <c r="I191" i="1"/>
  <c r="D192" i="1"/>
  <c r="E192" i="1"/>
  <c r="I192" i="1"/>
  <c r="D193" i="1"/>
  <c r="E193" i="1"/>
  <c r="I193" i="1"/>
  <c r="D194" i="1"/>
  <c r="E194" i="1"/>
  <c r="I194" i="1"/>
  <c r="D195" i="1"/>
  <c r="E195" i="1"/>
  <c r="I195" i="1"/>
  <c r="D196" i="1"/>
  <c r="E196" i="1"/>
  <c r="I196" i="1"/>
  <c r="D197" i="1"/>
  <c r="E197" i="1"/>
  <c r="I197" i="1"/>
  <c r="D198" i="1"/>
  <c r="E198" i="1"/>
  <c r="I198" i="1"/>
  <c r="D199" i="1"/>
  <c r="E199" i="1"/>
  <c r="I199" i="1"/>
  <c r="D200" i="1"/>
  <c r="E200" i="1"/>
  <c r="I200" i="1"/>
  <c r="D201" i="1"/>
  <c r="E201" i="1"/>
  <c r="I201" i="1"/>
  <c r="D202" i="1"/>
  <c r="E202" i="1"/>
  <c r="I202" i="1"/>
  <c r="D203" i="1"/>
  <c r="E203" i="1"/>
  <c r="I203" i="1"/>
  <c r="D204" i="1"/>
  <c r="E204" i="1"/>
  <c r="I204" i="1"/>
  <c r="D205" i="1"/>
  <c r="E205" i="1"/>
  <c r="I205" i="1"/>
  <c r="D206" i="1"/>
  <c r="E206" i="1"/>
  <c r="I206" i="1"/>
  <c r="D207" i="1"/>
  <c r="E207" i="1"/>
  <c r="I207" i="1"/>
  <c r="D208" i="1"/>
  <c r="E208" i="1"/>
  <c r="I208" i="1"/>
  <c r="D209" i="1"/>
  <c r="E209" i="1"/>
  <c r="I209" i="1"/>
  <c r="D210" i="1"/>
  <c r="E210" i="1"/>
  <c r="I210" i="1"/>
  <c r="D211" i="1"/>
  <c r="E211" i="1"/>
  <c r="I211" i="1"/>
  <c r="D212" i="1"/>
  <c r="E212" i="1"/>
  <c r="I212" i="1"/>
  <c r="D213" i="1"/>
  <c r="E213" i="1"/>
  <c r="I213" i="1"/>
  <c r="D214" i="1"/>
  <c r="E214" i="1"/>
  <c r="I214" i="1"/>
  <c r="D215" i="1"/>
  <c r="E215" i="1"/>
  <c r="I215" i="1"/>
  <c r="D216" i="1"/>
  <c r="E216" i="1"/>
  <c r="I216" i="1"/>
  <c r="D217" i="1"/>
  <c r="E217" i="1"/>
  <c r="I217" i="1"/>
  <c r="D218" i="1"/>
  <c r="E218" i="1"/>
  <c r="I218" i="1"/>
  <c r="D219" i="1"/>
  <c r="E219" i="1"/>
  <c r="I219" i="1"/>
  <c r="D220" i="1"/>
  <c r="E220" i="1"/>
  <c r="I220" i="1"/>
  <c r="D221" i="1"/>
  <c r="E221" i="1"/>
  <c r="I221" i="1"/>
  <c r="D222" i="1"/>
  <c r="E222" i="1"/>
  <c r="I222" i="1"/>
  <c r="D223" i="1"/>
  <c r="E223" i="1"/>
  <c r="I223" i="1"/>
  <c r="D224" i="1"/>
  <c r="E224" i="1"/>
  <c r="I224" i="1"/>
  <c r="D225" i="1"/>
  <c r="E225" i="1"/>
  <c r="I225" i="1"/>
  <c r="D226" i="1"/>
  <c r="E226" i="1"/>
  <c r="I226" i="1"/>
  <c r="D227" i="1"/>
  <c r="E227" i="1"/>
  <c r="I227" i="1"/>
  <c r="D228" i="1"/>
  <c r="E228" i="1"/>
  <c r="I228" i="1"/>
  <c r="D229" i="1"/>
  <c r="E229" i="1"/>
  <c r="I229" i="1"/>
  <c r="D230" i="1"/>
  <c r="E230" i="1"/>
  <c r="I230" i="1"/>
  <c r="D231" i="1"/>
  <c r="E231" i="1"/>
  <c r="I231" i="1"/>
  <c r="D232" i="1"/>
  <c r="E232" i="1"/>
  <c r="I232" i="1"/>
  <c r="D233" i="1"/>
  <c r="E233" i="1"/>
  <c r="I233" i="1"/>
  <c r="D234" i="1"/>
  <c r="E234" i="1"/>
  <c r="I234" i="1"/>
  <c r="D235" i="1"/>
  <c r="E235" i="1"/>
  <c r="I235" i="1"/>
  <c r="D236" i="1"/>
  <c r="E236" i="1"/>
  <c r="I236" i="1"/>
  <c r="D237" i="1"/>
  <c r="E237" i="1"/>
  <c r="I237" i="1"/>
  <c r="D238" i="1"/>
  <c r="E238" i="1"/>
  <c r="I238" i="1"/>
  <c r="D239" i="1"/>
  <c r="E239" i="1"/>
  <c r="I239" i="1"/>
  <c r="D240" i="1"/>
  <c r="E240" i="1"/>
  <c r="I240" i="1"/>
  <c r="D241" i="1"/>
  <c r="E241" i="1"/>
  <c r="I241" i="1"/>
  <c r="D242" i="1"/>
  <c r="E242" i="1"/>
  <c r="I242" i="1"/>
  <c r="D243" i="1"/>
  <c r="E243" i="1"/>
  <c r="I243" i="1"/>
  <c r="D244" i="1"/>
  <c r="E244" i="1"/>
  <c r="I244" i="1"/>
  <c r="D245" i="1"/>
  <c r="E245" i="1"/>
  <c r="I245" i="1"/>
  <c r="D246" i="1"/>
  <c r="E246" i="1"/>
  <c r="I246" i="1"/>
  <c r="D247" i="1"/>
  <c r="E247" i="1"/>
  <c r="I247" i="1"/>
  <c r="D248" i="1"/>
  <c r="E248" i="1"/>
  <c r="I248" i="1"/>
  <c r="D249" i="1"/>
  <c r="E249" i="1"/>
  <c r="I249" i="1"/>
  <c r="D250" i="1"/>
  <c r="E250" i="1"/>
  <c r="I250" i="1"/>
  <c r="D251" i="1"/>
  <c r="E251" i="1"/>
  <c r="I251" i="1"/>
  <c r="D252" i="1"/>
  <c r="E252" i="1"/>
  <c r="I252" i="1"/>
  <c r="D253" i="1"/>
  <c r="E253" i="1"/>
  <c r="I253" i="1"/>
  <c r="D254" i="1"/>
  <c r="E254" i="1"/>
  <c r="I254" i="1"/>
  <c r="D255" i="1"/>
  <c r="E255" i="1"/>
  <c r="I255" i="1"/>
  <c r="D256" i="1"/>
  <c r="E256" i="1"/>
  <c r="I256" i="1"/>
  <c r="D257" i="1"/>
  <c r="E257" i="1"/>
  <c r="I257" i="1"/>
  <c r="D258" i="1"/>
  <c r="E258" i="1"/>
  <c r="I258" i="1"/>
  <c r="D259" i="1"/>
  <c r="E259" i="1"/>
  <c r="I259" i="1"/>
  <c r="D260" i="1"/>
  <c r="E260" i="1"/>
  <c r="I260" i="1"/>
  <c r="D261" i="1"/>
  <c r="E261" i="1"/>
  <c r="I261" i="1"/>
  <c r="D262" i="1"/>
  <c r="E262" i="1"/>
  <c r="I262" i="1"/>
  <c r="D263" i="1"/>
  <c r="E263" i="1"/>
  <c r="I263" i="1"/>
  <c r="D264" i="1"/>
  <c r="E264" i="1"/>
  <c r="I264" i="1"/>
  <c r="D265" i="1"/>
  <c r="E265" i="1"/>
  <c r="I265" i="1"/>
  <c r="D266" i="1"/>
  <c r="E266" i="1"/>
  <c r="I266" i="1"/>
  <c r="D267" i="1"/>
  <c r="E267" i="1"/>
  <c r="I267" i="1"/>
  <c r="D268" i="1"/>
  <c r="E268" i="1"/>
  <c r="I268" i="1"/>
  <c r="D269" i="1"/>
  <c r="E269" i="1"/>
  <c r="I269" i="1"/>
  <c r="D270" i="1"/>
  <c r="E270" i="1"/>
  <c r="I270" i="1"/>
  <c r="D271" i="1"/>
  <c r="E271" i="1"/>
  <c r="I271" i="1"/>
  <c r="D272" i="1"/>
  <c r="E272" i="1"/>
  <c r="I272" i="1"/>
  <c r="D273" i="1"/>
  <c r="E273" i="1"/>
  <c r="I273" i="1"/>
  <c r="D274" i="1"/>
  <c r="E274" i="1"/>
  <c r="I274" i="1"/>
  <c r="D275" i="1"/>
  <c r="E275" i="1"/>
  <c r="I275" i="1"/>
  <c r="D276" i="1"/>
  <c r="E276" i="1"/>
  <c r="I276" i="1"/>
  <c r="D277" i="1"/>
  <c r="E277" i="1"/>
  <c r="I277" i="1"/>
  <c r="D278" i="1"/>
  <c r="E278" i="1"/>
  <c r="I278" i="1"/>
  <c r="D279" i="1"/>
  <c r="E279" i="1"/>
  <c r="I279" i="1"/>
  <c r="D280" i="1"/>
  <c r="E280" i="1"/>
  <c r="I280" i="1"/>
  <c r="D281" i="1"/>
  <c r="E281" i="1"/>
  <c r="I281" i="1"/>
  <c r="D282" i="1"/>
  <c r="E282" i="1"/>
  <c r="I282" i="1"/>
  <c r="D283" i="1"/>
  <c r="E283" i="1"/>
  <c r="I283" i="1"/>
  <c r="D284" i="1"/>
  <c r="E284" i="1"/>
  <c r="I284" i="1"/>
  <c r="D285" i="1"/>
  <c r="E285" i="1"/>
  <c r="I285" i="1"/>
  <c r="D286" i="1"/>
  <c r="E286" i="1"/>
  <c r="I286" i="1"/>
  <c r="D287" i="1"/>
  <c r="E287" i="1"/>
  <c r="I287" i="1"/>
  <c r="D288" i="1"/>
  <c r="E288" i="1"/>
  <c r="I288" i="1"/>
  <c r="D289" i="1"/>
  <c r="E289" i="1"/>
  <c r="I289" i="1"/>
  <c r="D290" i="1"/>
  <c r="E290" i="1"/>
  <c r="I290" i="1"/>
  <c r="D291" i="1"/>
  <c r="E291" i="1"/>
  <c r="I291" i="1"/>
  <c r="D292" i="1"/>
  <c r="E292" i="1"/>
  <c r="I292" i="1"/>
  <c r="D293" i="1"/>
  <c r="E293" i="1"/>
  <c r="I293" i="1"/>
  <c r="D294" i="1"/>
  <c r="E294" i="1"/>
  <c r="I294" i="1"/>
  <c r="D295" i="1"/>
  <c r="E295" i="1"/>
  <c r="I295" i="1"/>
  <c r="I2" i="2"/>
  <c r="G12" i="5" l="1"/>
  <c r="D111" i="2" l="1"/>
  <c r="E111" i="2"/>
  <c r="I111" i="2"/>
  <c r="D112" i="2"/>
  <c r="E112" i="2"/>
  <c r="I112" i="2"/>
  <c r="D113" i="2"/>
  <c r="E113" i="2"/>
  <c r="I113" i="2"/>
  <c r="D114" i="2"/>
  <c r="E114" i="2"/>
  <c r="I114" i="2"/>
  <c r="D115" i="2"/>
  <c r="E115" i="2"/>
  <c r="I115" i="2"/>
  <c r="D116" i="2"/>
  <c r="E116" i="2"/>
  <c r="I116" i="2"/>
  <c r="D117" i="2"/>
  <c r="E117" i="2"/>
  <c r="I117" i="2"/>
  <c r="D118" i="2"/>
  <c r="E118" i="2"/>
  <c r="I118" i="2"/>
  <c r="D119" i="2"/>
  <c r="E119" i="2"/>
  <c r="I119" i="2"/>
  <c r="D120" i="2"/>
  <c r="E120" i="2"/>
  <c r="I120" i="2"/>
  <c r="D121" i="2"/>
  <c r="E121" i="2"/>
  <c r="I121" i="2"/>
  <c r="D122" i="2"/>
  <c r="E122" i="2"/>
  <c r="I122" i="2"/>
  <c r="D123" i="2"/>
  <c r="E123" i="2"/>
  <c r="I123" i="2"/>
  <c r="D124" i="2"/>
  <c r="E124" i="2"/>
  <c r="I124" i="2"/>
  <c r="D125" i="2"/>
  <c r="E125" i="2"/>
  <c r="I125" i="2"/>
  <c r="D126" i="2"/>
  <c r="E126" i="2"/>
  <c r="I126" i="2"/>
  <c r="D127" i="2"/>
  <c r="E127" i="2"/>
  <c r="I127" i="2"/>
  <c r="D128" i="2"/>
  <c r="E128" i="2"/>
  <c r="I128" i="2"/>
  <c r="D129" i="2"/>
  <c r="E129" i="2"/>
  <c r="I129" i="2"/>
  <c r="D130" i="2"/>
  <c r="E130" i="2"/>
  <c r="I130" i="2"/>
  <c r="D131" i="2"/>
  <c r="E131" i="2"/>
  <c r="I131" i="2"/>
  <c r="D132" i="2"/>
  <c r="E132" i="2"/>
  <c r="I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E138" i="2"/>
  <c r="I138" i="2"/>
  <c r="D139" i="2"/>
  <c r="E139" i="2"/>
  <c r="I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E145" i="2"/>
  <c r="I145" i="2"/>
  <c r="D146" i="2"/>
  <c r="E146" i="2"/>
  <c r="I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E152" i="2"/>
  <c r="I152" i="2"/>
  <c r="D153" i="2"/>
  <c r="E153" i="2"/>
  <c r="I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59" i="2"/>
  <c r="E159" i="2"/>
  <c r="I159" i="2"/>
  <c r="D160" i="2"/>
  <c r="E160" i="2"/>
  <c r="I160" i="2"/>
  <c r="D161" i="2"/>
  <c r="E161" i="2"/>
  <c r="I161" i="2"/>
  <c r="D162" i="2"/>
  <c r="E162" i="2"/>
  <c r="I162" i="2"/>
  <c r="D163" i="2"/>
  <c r="E163" i="2"/>
  <c r="I163" i="2"/>
  <c r="D164" i="2"/>
  <c r="E164" i="2"/>
  <c r="I164" i="2"/>
  <c r="D165" i="2"/>
  <c r="E165" i="2"/>
  <c r="I165" i="2"/>
  <c r="D166" i="2"/>
  <c r="E166" i="2"/>
  <c r="I166" i="2"/>
  <c r="D167" i="2"/>
  <c r="E167" i="2"/>
  <c r="I167" i="2"/>
  <c r="D168" i="2"/>
  <c r="E168" i="2"/>
  <c r="I168" i="2"/>
  <c r="D169" i="2"/>
  <c r="E169" i="2"/>
  <c r="I169" i="2"/>
  <c r="D170" i="2"/>
  <c r="E170" i="2"/>
  <c r="I170" i="2"/>
  <c r="D171" i="2"/>
  <c r="E171" i="2"/>
  <c r="I171" i="2"/>
  <c r="D172" i="2"/>
  <c r="E172" i="2"/>
  <c r="I172" i="2"/>
  <c r="D173" i="2"/>
  <c r="E173" i="2"/>
  <c r="I173" i="2"/>
  <c r="D174" i="2"/>
  <c r="E174" i="2"/>
  <c r="I174" i="2"/>
  <c r="D175" i="2"/>
  <c r="E175" i="2"/>
  <c r="I175" i="2"/>
  <c r="D176" i="2"/>
  <c r="E176" i="2"/>
  <c r="I176" i="2"/>
  <c r="D177" i="2"/>
  <c r="E177" i="2"/>
  <c r="I177" i="2"/>
  <c r="D178" i="2"/>
  <c r="E178" i="2"/>
  <c r="I178" i="2"/>
  <c r="D179" i="2"/>
  <c r="E179" i="2"/>
  <c r="I179" i="2"/>
  <c r="D180" i="2"/>
  <c r="E180" i="2"/>
  <c r="I180" i="2"/>
  <c r="D181" i="2"/>
  <c r="E181" i="2"/>
  <c r="I181" i="2"/>
  <c r="D182" i="2"/>
  <c r="E182" i="2"/>
  <c r="I182" i="2"/>
  <c r="D183" i="2"/>
  <c r="E183" i="2"/>
  <c r="I183" i="2"/>
  <c r="D184" i="2"/>
  <c r="E184" i="2"/>
  <c r="I184" i="2"/>
  <c r="D185" i="2"/>
  <c r="E185" i="2"/>
  <c r="I185" i="2"/>
  <c r="D186" i="2"/>
  <c r="E186" i="2"/>
  <c r="I186" i="2"/>
  <c r="D187" i="2"/>
  <c r="E187" i="2"/>
  <c r="I187" i="2"/>
  <c r="D188" i="2"/>
  <c r="E188" i="2"/>
  <c r="I188" i="2"/>
  <c r="D189" i="2"/>
  <c r="E189" i="2"/>
  <c r="I189" i="2"/>
  <c r="D190" i="2"/>
  <c r="E190" i="2"/>
  <c r="I190" i="2"/>
  <c r="D191" i="2"/>
  <c r="E191" i="2"/>
  <c r="I191" i="2"/>
  <c r="D192" i="2"/>
  <c r="E192" i="2"/>
  <c r="I192" i="2"/>
  <c r="D193" i="2"/>
  <c r="E193" i="2"/>
  <c r="I193" i="2"/>
  <c r="D194" i="2"/>
  <c r="E194" i="2"/>
  <c r="I194" i="2"/>
  <c r="D195" i="2"/>
  <c r="E195" i="2"/>
  <c r="I195" i="2"/>
  <c r="D196" i="2"/>
  <c r="E196" i="2"/>
  <c r="I196" i="2"/>
  <c r="D197" i="2"/>
  <c r="E197" i="2"/>
  <c r="I197" i="2"/>
  <c r="D198" i="2"/>
  <c r="E198" i="2"/>
  <c r="I198" i="2"/>
  <c r="D199" i="2"/>
  <c r="E199" i="2"/>
  <c r="I199" i="2"/>
  <c r="D200" i="2"/>
  <c r="E200" i="2"/>
  <c r="I200" i="2"/>
  <c r="D201" i="2"/>
  <c r="E201" i="2"/>
  <c r="I201" i="2"/>
  <c r="D202" i="2"/>
  <c r="E202" i="2"/>
  <c r="I202" i="2"/>
  <c r="D203" i="2"/>
  <c r="E203" i="2"/>
  <c r="I203" i="2"/>
  <c r="D204" i="2"/>
  <c r="E204" i="2"/>
  <c r="I204" i="2"/>
  <c r="D205" i="2"/>
  <c r="E205" i="2"/>
  <c r="I205" i="2"/>
  <c r="D206" i="2"/>
  <c r="E206" i="2"/>
  <c r="I206" i="2"/>
  <c r="D207" i="2"/>
  <c r="E207" i="2"/>
  <c r="I207" i="2"/>
  <c r="D208" i="2"/>
  <c r="E208" i="2"/>
  <c r="I208" i="2"/>
  <c r="D209" i="2"/>
  <c r="E209" i="2"/>
  <c r="I209" i="2"/>
  <c r="D210" i="2"/>
  <c r="E210" i="2"/>
  <c r="I210" i="2"/>
  <c r="D211" i="2"/>
  <c r="E211" i="2"/>
  <c r="I211" i="2"/>
  <c r="D212" i="2"/>
  <c r="E212" i="2"/>
  <c r="I212" i="2"/>
  <c r="D213" i="2"/>
  <c r="E213" i="2"/>
  <c r="I213" i="2"/>
  <c r="D214" i="2"/>
  <c r="E214" i="2"/>
  <c r="I214" i="2"/>
  <c r="D215" i="2"/>
  <c r="E215" i="2"/>
  <c r="I215" i="2"/>
  <c r="D216" i="2"/>
  <c r="E216" i="2"/>
  <c r="I216" i="2"/>
  <c r="D217" i="2"/>
  <c r="E217" i="2"/>
  <c r="I217" i="2"/>
  <c r="D218" i="2"/>
  <c r="E218" i="2"/>
  <c r="I218" i="2"/>
  <c r="D219" i="2"/>
  <c r="E219" i="2"/>
  <c r="I219" i="2"/>
  <c r="D220" i="2"/>
  <c r="E220" i="2"/>
  <c r="I220" i="2"/>
  <c r="D221" i="2"/>
  <c r="E221" i="2"/>
  <c r="I221" i="2"/>
  <c r="D222" i="2"/>
  <c r="E222" i="2"/>
  <c r="I222" i="2"/>
  <c r="D223" i="2"/>
  <c r="E223" i="2"/>
  <c r="I223" i="2"/>
  <c r="D224" i="2"/>
  <c r="E224" i="2"/>
  <c r="I224" i="2"/>
  <c r="D225" i="2"/>
  <c r="E225" i="2"/>
  <c r="I225" i="2"/>
  <c r="D226" i="2"/>
  <c r="E226" i="2"/>
  <c r="I226" i="2"/>
  <c r="D227" i="2"/>
  <c r="E227" i="2"/>
  <c r="I227" i="2"/>
  <c r="D228" i="2"/>
  <c r="E228" i="2"/>
  <c r="I228" i="2"/>
  <c r="D229" i="2"/>
  <c r="E229" i="2"/>
  <c r="I229" i="2"/>
  <c r="D230" i="2"/>
  <c r="E230" i="2"/>
  <c r="I230" i="2"/>
  <c r="D231" i="2"/>
  <c r="E231" i="2"/>
  <c r="I231" i="2"/>
  <c r="D232" i="2"/>
  <c r="E232" i="2"/>
  <c r="I232" i="2"/>
  <c r="D233" i="2"/>
  <c r="E233" i="2"/>
  <c r="I233" i="2"/>
  <c r="D234" i="2"/>
  <c r="E234" i="2"/>
  <c r="I234" i="2"/>
  <c r="D235" i="2"/>
  <c r="E235" i="2"/>
  <c r="I235" i="2"/>
  <c r="D236" i="2"/>
  <c r="E236" i="2"/>
  <c r="I236" i="2"/>
  <c r="D237" i="2"/>
  <c r="E237" i="2"/>
  <c r="I237" i="2"/>
  <c r="D238" i="2"/>
  <c r="E238" i="2"/>
  <c r="I238" i="2"/>
  <c r="D239" i="2"/>
  <c r="E239" i="2"/>
  <c r="I239" i="2"/>
  <c r="D240" i="2"/>
  <c r="E240" i="2"/>
  <c r="I240" i="2"/>
  <c r="D241" i="2"/>
  <c r="E241" i="2"/>
  <c r="I241" i="2"/>
  <c r="D242" i="2"/>
  <c r="E242" i="2"/>
  <c r="I242" i="2"/>
  <c r="D243" i="2"/>
  <c r="E243" i="2"/>
  <c r="I243" i="2"/>
  <c r="D244" i="2"/>
  <c r="E244" i="2"/>
  <c r="I244" i="2"/>
  <c r="D245" i="2"/>
  <c r="E245" i="2"/>
  <c r="I245" i="2"/>
  <c r="D246" i="2"/>
  <c r="E246" i="2"/>
  <c r="I246" i="2"/>
  <c r="D247" i="2"/>
  <c r="E247" i="2"/>
  <c r="I247" i="2"/>
  <c r="D248" i="2"/>
  <c r="E248" i="2"/>
  <c r="I248" i="2"/>
  <c r="D249" i="2"/>
  <c r="E249" i="2"/>
  <c r="I249" i="2"/>
  <c r="D250" i="2"/>
  <c r="E250" i="2"/>
  <c r="I250" i="2"/>
  <c r="D251" i="2"/>
  <c r="E251" i="2"/>
  <c r="I251" i="2"/>
  <c r="D252" i="2"/>
  <c r="E252" i="2"/>
  <c r="I252" i="2"/>
  <c r="D253" i="2"/>
  <c r="E253" i="2"/>
  <c r="I253" i="2"/>
  <c r="D254" i="2"/>
  <c r="E254" i="2"/>
  <c r="I254" i="2"/>
  <c r="D255" i="2"/>
  <c r="E255" i="2"/>
  <c r="I255" i="2"/>
  <c r="D256" i="2"/>
  <c r="E256" i="2"/>
  <c r="I256" i="2"/>
  <c r="D257" i="2"/>
  <c r="E257" i="2"/>
  <c r="I257" i="2"/>
  <c r="D258" i="2"/>
  <c r="E258" i="2"/>
  <c r="I258" i="2"/>
  <c r="D259" i="2"/>
  <c r="E259" i="2"/>
  <c r="I259" i="2"/>
  <c r="D260" i="2"/>
  <c r="E260" i="2"/>
  <c r="I260" i="2"/>
  <c r="D261" i="2"/>
  <c r="E261" i="2"/>
  <c r="I261" i="2"/>
  <c r="D262" i="2"/>
  <c r="E262" i="2"/>
  <c r="I262" i="2"/>
  <c r="D263" i="2"/>
  <c r="E263" i="2"/>
  <c r="I263" i="2"/>
  <c r="D264" i="2"/>
  <c r="E264" i="2"/>
  <c r="I264" i="2"/>
  <c r="E2" i="2"/>
  <c r="D2" i="2"/>
  <c r="E2" i="1" l="1"/>
  <c r="D3" i="1"/>
  <c r="E3" i="1"/>
  <c r="I3" i="1"/>
  <c r="D4" i="1"/>
  <c r="E4" i="1"/>
  <c r="I4" i="1"/>
  <c r="D5" i="1"/>
  <c r="E5" i="1"/>
  <c r="I5" i="1"/>
  <c r="D6" i="1"/>
  <c r="E6" i="1"/>
  <c r="I6" i="1"/>
  <c r="D7" i="1"/>
  <c r="E7" i="1"/>
  <c r="I7" i="1"/>
  <c r="D8" i="1"/>
  <c r="E8" i="1"/>
  <c r="I8" i="1"/>
  <c r="D9" i="1"/>
  <c r="E9" i="1"/>
  <c r="I9" i="1"/>
  <c r="D10" i="1"/>
  <c r="E10" i="1"/>
  <c r="I10" i="1"/>
  <c r="D11" i="1"/>
  <c r="E11" i="1"/>
  <c r="I11" i="1"/>
  <c r="D12" i="1"/>
  <c r="E12" i="1"/>
  <c r="I12" i="1"/>
  <c r="D13" i="1"/>
  <c r="E13" i="1"/>
  <c r="I13" i="1"/>
  <c r="D14" i="1"/>
  <c r="E14" i="1"/>
  <c r="I14" i="1"/>
  <c r="D15" i="1"/>
  <c r="E15" i="1"/>
  <c r="I15" i="1"/>
  <c r="D16" i="1"/>
  <c r="E16" i="1"/>
  <c r="I16" i="1"/>
  <c r="D17" i="1"/>
  <c r="E17" i="1"/>
  <c r="I17" i="1"/>
  <c r="D18" i="1"/>
  <c r="E18" i="1"/>
  <c r="I18" i="1"/>
  <c r="D19" i="1"/>
  <c r="E19" i="1"/>
  <c r="I19" i="1"/>
  <c r="D20" i="1"/>
  <c r="E20" i="1"/>
  <c r="I20" i="1"/>
  <c r="D21" i="1"/>
  <c r="E21" i="1"/>
  <c r="I21" i="1"/>
  <c r="D22" i="1"/>
  <c r="E22" i="1"/>
  <c r="I22" i="1"/>
  <c r="D23" i="1"/>
  <c r="E23" i="1"/>
  <c r="I23" i="1"/>
  <c r="D24" i="1"/>
  <c r="E24" i="1"/>
  <c r="I24" i="1"/>
  <c r="D25" i="1"/>
  <c r="E25" i="1"/>
  <c r="I25" i="1"/>
  <c r="D26" i="1"/>
  <c r="E26" i="1"/>
  <c r="I26" i="1"/>
  <c r="D27" i="1"/>
  <c r="E27" i="1"/>
  <c r="I27" i="1"/>
  <c r="D28" i="1"/>
  <c r="E28" i="1"/>
  <c r="I28" i="1"/>
  <c r="D29" i="1"/>
  <c r="E29" i="1"/>
  <c r="I29" i="1"/>
  <c r="D30" i="1"/>
  <c r="E30" i="1"/>
  <c r="I30" i="1"/>
  <c r="D31" i="1"/>
  <c r="E31" i="1"/>
  <c r="I31" i="1"/>
  <c r="D32" i="1"/>
  <c r="E32" i="1"/>
  <c r="I32" i="1"/>
  <c r="D33" i="1"/>
  <c r="E33" i="1"/>
  <c r="I33" i="1"/>
  <c r="D34" i="1"/>
  <c r="E34" i="1"/>
  <c r="I34" i="1"/>
  <c r="D35" i="1"/>
  <c r="E35" i="1"/>
  <c r="I35" i="1"/>
  <c r="D36" i="1"/>
  <c r="E36" i="1"/>
  <c r="I36" i="1"/>
  <c r="D37" i="1"/>
  <c r="E37" i="1"/>
  <c r="I37" i="1"/>
  <c r="D38" i="1"/>
  <c r="E38" i="1"/>
  <c r="I38" i="1"/>
  <c r="D39" i="1"/>
  <c r="E39" i="1"/>
  <c r="I39" i="1"/>
  <c r="D40" i="1"/>
  <c r="E40" i="1"/>
  <c r="I40" i="1"/>
  <c r="D41" i="1"/>
  <c r="E41" i="1"/>
  <c r="I41" i="1"/>
  <c r="D42" i="1"/>
  <c r="E42" i="1"/>
  <c r="I42" i="1"/>
  <c r="D43" i="1"/>
  <c r="E43" i="1"/>
  <c r="I43" i="1"/>
  <c r="D44" i="1"/>
  <c r="E44" i="1"/>
  <c r="I44" i="1"/>
  <c r="D45" i="1"/>
  <c r="E45" i="1"/>
  <c r="I45" i="1"/>
  <c r="D46" i="1"/>
  <c r="E46" i="1"/>
  <c r="I46" i="1"/>
  <c r="D47" i="1"/>
  <c r="E47" i="1"/>
  <c r="I47" i="1"/>
  <c r="D48" i="1"/>
  <c r="E48" i="1"/>
  <c r="I48" i="1"/>
  <c r="D49" i="1"/>
  <c r="E49" i="1"/>
  <c r="I49" i="1"/>
  <c r="D50" i="1"/>
  <c r="E50" i="1"/>
  <c r="I50" i="1"/>
  <c r="D51" i="1"/>
  <c r="E51" i="1"/>
  <c r="I51" i="1"/>
  <c r="D52" i="1"/>
  <c r="E52" i="1"/>
  <c r="I52" i="1"/>
  <c r="D53" i="1"/>
  <c r="E53" i="1"/>
  <c r="I53" i="1"/>
  <c r="D54" i="1"/>
  <c r="E54" i="1"/>
  <c r="I54" i="1"/>
  <c r="D55" i="1"/>
  <c r="E55" i="1"/>
  <c r="I55" i="1"/>
  <c r="D56" i="1"/>
  <c r="E56" i="1"/>
  <c r="I56" i="1"/>
  <c r="D57" i="1"/>
  <c r="E57" i="1"/>
  <c r="I57" i="1"/>
  <c r="D58" i="1"/>
  <c r="E58" i="1"/>
  <c r="I58" i="1"/>
  <c r="D59" i="1"/>
  <c r="E59" i="1"/>
  <c r="I59" i="1"/>
  <c r="D60" i="1"/>
  <c r="E60" i="1"/>
  <c r="I60" i="1"/>
  <c r="D61" i="1"/>
  <c r="E61" i="1"/>
  <c r="I61" i="1"/>
  <c r="D62" i="1"/>
  <c r="E62" i="1"/>
  <c r="I62" i="1"/>
  <c r="D63" i="1"/>
  <c r="E63" i="1"/>
  <c r="I63" i="1"/>
  <c r="D64" i="1"/>
  <c r="E64" i="1"/>
  <c r="I64" i="1"/>
  <c r="D65" i="1"/>
  <c r="E65" i="1"/>
  <c r="I65" i="1"/>
  <c r="D66" i="1"/>
  <c r="E66" i="1"/>
  <c r="I66" i="1"/>
  <c r="D67" i="1"/>
  <c r="E67" i="1"/>
  <c r="I67" i="1"/>
  <c r="D68" i="1"/>
  <c r="E68" i="1"/>
  <c r="I68" i="1"/>
  <c r="D69" i="1"/>
  <c r="E69" i="1"/>
  <c r="I69" i="1"/>
  <c r="D70" i="1"/>
  <c r="E70" i="1"/>
  <c r="I70" i="1"/>
  <c r="D71" i="1"/>
  <c r="E71" i="1"/>
  <c r="I71" i="1"/>
  <c r="D72" i="1"/>
  <c r="E72" i="1"/>
  <c r="I72" i="1"/>
  <c r="D73" i="1"/>
  <c r="E73" i="1"/>
  <c r="I73" i="1"/>
  <c r="D74" i="1"/>
  <c r="E74" i="1"/>
  <c r="I74" i="1"/>
  <c r="D75" i="1"/>
  <c r="E75" i="1"/>
  <c r="I75" i="1"/>
  <c r="D76" i="1"/>
  <c r="E76" i="1"/>
  <c r="I76" i="1"/>
  <c r="D77" i="1"/>
  <c r="E77" i="1"/>
  <c r="I77" i="1"/>
  <c r="D78" i="1"/>
  <c r="E78" i="1"/>
  <c r="I78" i="1"/>
  <c r="D79" i="1"/>
  <c r="E79" i="1"/>
  <c r="I79" i="1"/>
  <c r="D80" i="1"/>
  <c r="E80" i="1"/>
  <c r="I80" i="1"/>
  <c r="D81" i="1"/>
  <c r="E81" i="1"/>
  <c r="I81" i="1"/>
  <c r="D82" i="1"/>
  <c r="E82" i="1"/>
  <c r="I82" i="1"/>
  <c r="D83" i="1"/>
  <c r="E83" i="1"/>
  <c r="I83" i="1"/>
  <c r="D84" i="1"/>
  <c r="E84" i="1"/>
  <c r="I84" i="1"/>
  <c r="D85" i="1"/>
  <c r="E85" i="1"/>
  <c r="I85" i="1"/>
  <c r="D86" i="1"/>
  <c r="E86" i="1"/>
  <c r="I86" i="1"/>
  <c r="D87" i="1"/>
  <c r="E87" i="1"/>
  <c r="I87" i="1"/>
  <c r="D88" i="1"/>
  <c r="E88" i="1"/>
  <c r="I88" i="1"/>
  <c r="D89" i="1"/>
  <c r="E89" i="1"/>
  <c r="I89" i="1"/>
  <c r="D90" i="1"/>
  <c r="E90" i="1"/>
  <c r="I90" i="1"/>
  <c r="D91" i="1"/>
  <c r="E91" i="1"/>
  <c r="I91" i="1"/>
  <c r="D92" i="1"/>
  <c r="E92" i="1"/>
  <c r="I92" i="1"/>
  <c r="D93" i="1"/>
  <c r="E93" i="1"/>
  <c r="I93" i="1"/>
  <c r="D94" i="1"/>
  <c r="E94" i="1"/>
  <c r="I94" i="1"/>
  <c r="D95" i="1"/>
  <c r="E95" i="1"/>
  <c r="I95" i="1"/>
  <c r="D96" i="1"/>
  <c r="E96" i="1"/>
  <c r="I96" i="1"/>
  <c r="D97" i="1"/>
  <c r="E97" i="1"/>
  <c r="I97" i="1"/>
  <c r="D98" i="1"/>
  <c r="E98" i="1"/>
  <c r="I98" i="1"/>
  <c r="D99" i="1"/>
  <c r="E99" i="1"/>
  <c r="I99" i="1"/>
  <c r="D100" i="1"/>
  <c r="E100" i="1"/>
  <c r="I100" i="1"/>
  <c r="D101" i="1"/>
  <c r="E101" i="1"/>
  <c r="I101" i="1"/>
  <c r="D102" i="1"/>
  <c r="E102" i="1"/>
  <c r="I102" i="1"/>
  <c r="D103" i="1"/>
  <c r="E103" i="1"/>
  <c r="I103" i="1"/>
  <c r="D104" i="1"/>
  <c r="E104" i="1"/>
  <c r="I104" i="1"/>
  <c r="D105" i="1"/>
  <c r="E105" i="1"/>
  <c r="I105" i="1"/>
  <c r="D106" i="1"/>
  <c r="E106" i="1"/>
  <c r="I106" i="1"/>
  <c r="D107" i="1"/>
  <c r="E107" i="1"/>
  <c r="I107" i="1"/>
  <c r="D108" i="1"/>
  <c r="E108" i="1"/>
  <c r="I108" i="1"/>
  <c r="D109" i="1"/>
  <c r="E109" i="1"/>
  <c r="I109" i="1"/>
  <c r="D110" i="1"/>
  <c r="E110" i="1"/>
  <c r="I110" i="1"/>
  <c r="D111" i="1"/>
  <c r="E111" i="1"/>
  <c r="I111" i="1"/>
  <c r="D112" i="1"/>
  <c r="E112" i="1"/>
  <c r="I112" i="1"/>
  <c r="D113" i="1"/>
  <c r="E113" i="1"/>
  <c r="I113" i="1"/>
  <c r="D114" i="1"/>
  <c r="E114" i="1"/>
  <c r="I114" i="1"/>
  <c r="D115" i="1"/>
  <c r="E115" i="1"/>
  <c r="I115" i="1"/>
  <c r="D116" i="1"/>
  <c r="E116" i="1"/>
  <c r="I116" i="1"/>
  <c r="D117" i="1"/>
  <c r="E117" i="1"/>
  <c r="I117" i="1"/>
  <c r="D110" i="2"/>
  <c r="E11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E4" i="2"/>
  <c r="D4" i="2"/>
  <c r="E3" i="2"/>
  <c r="D3" i="2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C13" i="8" l="1"/>
  <c r="K21" i="5"/>
  <c r="K12" i="5"/>
  <c r="K13" i="5"/>
  <c r="K29" i="5"/>
  <c r="K20" i="5"/>
  <c r="K22" i="5"/>
  <c r="K14" i="5"/>
  <c r="L12" i="5"/>
  <c r="S12" i="5"/>
  <c r="C12" i="8"/>
  <c r="P30" i="5"/>
  <c r="M15" i="5"/>
  <c r="L26" i="5"/>
  <c r="M23" i="5"/>
  <c r="O26" i="5"/>
  <c r="N29" i="5"/>
  <c r="S30" i="5"/>
  <c r="L19" i="5"/>
  <c r="S20" i="5"/>
  <c r="P23" i="5"/>
  <c r="Q26" i="5"/>
  <c r="K28" i="5"/>
  <c r="P29" i="5"/>
  <c r="N19" i="5"/>
  <c r="R23" i="5"/>
  <c r="L25" i="5"/>
  <c r="N28" i="5"/>
  <c r="S29" i="5"/>
  <c r="M22" i="5"/>
  <c r="O25" i="5"/>
  <c r="Q28" i="5"/>
  <c r="M31" i="5"/>
  <c r="L18" i="5"/>
  <c r="P22" i="5"/>
  <c r="R25" i="5"/>
  <c r="L27" i="5"/>
  <c r="S28" i="5"/>
  <c r="P31" i="5"/>
  <c r="M24" i="5"/>
  <c r="F310" i="1" s="1"/>
  <c r="G310" i="1" s="1"/>
  <c r="H310" i="1" s="1"/>
  <c r="N27" i="5"/>
  <c r="K30" i="5"/>
  <c r="R31" i="5"/>
  <c r="Q18" i="5"/>
  <c r="P21" i="5"/>
  <c r="O24" i="5"/>
  <c r="Q27" i="5"/>
  <c r="F275" i="2" s="1"/>
  <c r="G275" i="2" s="1"/>
  <c r="H275" i="2" s="1"/>
  <c r="M30" i="5"/>
  <c r="N20" i="5"/>
  <c r="L17" i="5"/>
  <c r="Q20" i="5"/>
  <c r="O16" i="5"/>
  <c r="R24" i="5"/>
  <c r="S21" i="5"/>
  <c r="R15" i="5"/>
  <c r="P15" i="5"/>
  <c r="R13" i="5"/>
  <c r="S22" i="5"/>
  <c r="N21" i="5"/>
  <c r="O18" i="5"/>
  <c r="R16" i="5"/>
  <c r="N17" i="5"/>
  <c r="K18" i="5"/>
  <c r="S18" i="5"/>
  <c r="P19" i="5"/>
  <c r="M20" i="5"/>
  <c r="R21" i="5"/>
  <c r="O22" i="5"/>
  <c r="L23" i="5"/>
  <c r="Q24" i="5"/>
  <c r="N25" i="5"/>
  <c r="K26" i="5"/>
  <c r="S26" i="5"/>
  <c r="P27" i="5"/>
  <c r="M28" i="5"/>
  <c r="R29" i="5"/>
  <c r="O30" i="5"/>
  <c r="L31" i="5"/>
  <c r="O12" i="5"/>
  <c r="L13" i="5"/>
  <c r="Q14" i="5"/>
  <c r="N15" i="5"/>
  <c r="K16" i="5"/>
  <c r="S16" i="5"/>
  <c r="P17" i="5"/>
  <c r="M18" i="5"/>
  <c r="R19" i="5"/>
  <c r="O20" i="5"/>
  <c r="L21" i="5"/>
  <c r="F315" i="1" s="1"/>
  <c r="G315" i="1" s="1"/>
  <c r="H315" i="1" s="1"/>
  <c r="Q22" i="5"/>
  <c r="N23" i="5"/>
  <c r="K24" i="5"/>
  <c r="S24" i="5"/>
  <c r="P25" i="5"/>
  <c r="M26" i="5"/>
  <c r="R27" i="5"/>
  <c r="O28" i="5"/>
  <c r="L29" i="5"/>
  <c r="Q30" i="5"/>
  <c r="N31" i="5"/>
  <c r="R14" i="5"/>
  <c r="O15" i="5"/>
  <c r="L16" i="5"/>
  <c r="Q17" i="5"/>
  <c r="N18" i="5"/>
  <c r="K19" i="5"/>
  <c r="S19" i="5"/>
  <c r="P20" i="5"/>
  <c r="M21" i="5"/>
  <c r="R22" i="5"/>
  <c r="O23" i="5"/>
  <c r="L24" i="5"/>
  <c r="Q25" i="5"/>
  <c r="N26" i="5"/>
  <c r="F281" i="2" s="1"/>
  <c r="G281" i="2" s="1"/>
  <c r="H281" i="2" s="1"/>
  <c r="K27" i="5"/>
  <c r="S27" i="5"/>
  <c r="P28" i="5"/>
  <c r="M29" i="5"/>
  <c r="R30" i="5"/>
  <c r="O31" i="5"/>
  <c r="F282" i="2" s="1"/>
  <c r="G282" i="2" s="1"/>
  <c r="H282" i="2" s="1"/>
  <c r="N13" i="5"/>
  <c r="O13" i="5"/>
  <c r="L14" i="5"/>
  <c r="Q15" i="5"/>
  <c r="N16" i="5"/>
  <c r="K17" i="5"/>
  <c r="S17" i="5"/>
  <c r="P18" i="5"/>
  <c r="M19" i="5"/>
  <c r="R20" i="5"/>
  <c r="O21" i="5"/>
  <c r="L22" i="5"/>
  <c r="Q23" i="5"/>
  <c r="N24" i="5"/>
  <c r="K25" i="5"/>
  <c r="S25" i="5"/>
  <c r="P26" i="5"/>
  <c r="M27" i="5"/>
  <c r="R28" i="5"/>
  <c r="O29" i="5"/>
  <c r="L30" i="5"/>
  <c r="Q31" i="5"/>
  <c r="F311" i="1" s="1"/>
  <c r="G311" i="1" s="1"/>
  <c r="H311" i="1" s="1"/>
  <c r="Q13" i="5"/>
  <c r="N14" i="5"/>
  <c r="K15" i="5"/>
  <c r="S15" i="5"/>
  <c r="P16" i="5"/>
  <c r="M17" i="5"/>
  <c r="R18" i="5"/>
  <c r="O19" i="5"/>
  <c r="L20" i="5"/>
  <c r="Q21" i="5"/>
  <c r="N22" i="5"/>
  <c r="K23" i="5"/>
  <c r="S23" i="5"/>
  <c r="P24" i="5"/>
  <c r="M25" i="5"/>
  <c r="R26" i="5"/>
  <c r="O27" i="5"/>
  <c r="L28" i="5"/>
  <c r="Q29" i="5"/>
  <c r="N30" i="5"/>
  <c r="K31" i="5"/>
  <c r="S31" i="5"/>
  <c r="S13" i="5"/>
  <c r="Q19" i="5"/>
  <c r="P13" i="5"/>
  <c r="M16" i="5"/>
  <c r="S14" i="5"/>
  <c r="R17" i="5"/>
  <c r="P14" i="5"/>
  <c r="M12" i="5"/>
  <c r="O17" i="5"/>
  <c r="M14" i="5"/>
  <c r="R12" i="5"/>
  <c r="Q12" i="5"/>
  <c r="M13" i="5"/>
  <c r="P12" i="5"/>
  <c r="N12" i="5"/>
  <c r="Q16" i="5"/>
  <c r="L15" i="5"/>
  <c r="O14" i="5"/>
  <c r="F307" i="1" l="1"/>
  <c r="G307" i="1" s="1"/>
  <c r="H307" i="1" s="1"/>
  <c r="F309" i="1"/>
  <c r="G309" i="1" s="1"/>
  <c r="H309" i="1" s="1"/>
  <c r="F313" i="1"/>
  <c r="G313" i="1" s="1"/>
  <c r="H313" i="1" s="1"/>
  <c r="F312" i="1"/>
  <c r="G312" i="1" s="1"/>
  <c r="H312" i="1" s="1"/>
  <c r="F314" i="1"/>
  <c r="G314" i="1" s="1"/>
  <c r="H314" i="1" s="1"/>
  <c r="F277" i="2"/>
  <c r="G277" i="2" s="1"/>
  <c r="H277" i="2" s="1"/>
  <c r="F308" i="1"/>
  <c r="G308" i="1" s="1"/>
  <c r="H308" i="1" s="1"/>
  <c r="F189" i="1"/>
  <c r="G189" i="1" s="1"/>
  <c r="H189" i="1" s="1"/>
  <c r="F280" i="2"/>
  <c r="G280" i="2" s="1"/>
  <c r="H280" i="2" s="1"/>
  <c r="F276" i="2"/>
  <c r="G276" i="2" s="1"/>
  <c r="H276" i="2" s="1"/>
  <c r="F278" i="2"/>
  <c r="G278" i="2" s="1"/>
  <c r="H278" i="2" s="1"/>
  <c r="F279" i="2"/>
  <c r="G279" i="2" s="1"/>
  <c r="H279" i="2" s="1"/>
  <c r="F120" i="11"/>
  <c r="G120" i="11" s="1"/>
  <c r="H120" i="11" s="1"/>
  <c r="F252" i="12"/>
  <c r="G252" i="12" s="1"/>
  <c r="H252" i="12" s="1"/>
  <c r="F120" i="10"/>
  <c r="G120" i="10" s="1"/>
  <c r="H120" i="10" s="1"/>
  <c r="F234" i="12"/>
  <c r="G234" i="12" s="1"/>
  <c r="H234" i="12" s="1"/>
  <c r="F234" i="11"/>
  <c r="G234" i="11" s="1"/>
  <c r="H234" i="11" s="1"/>
  <c r="F252" i="11"/>
  <c r="G252" i="11" s="1"/>
  <c r="H252" i="11" s="1"/>
  <c r="F234" i="9"/>
  <c r="G234" i="9" s="1"/>
  <c r="H234" i="9" s="1"/>
  <c r="F120" i="12"/>
  <c r="G120" i="12" s="1"/>
  <c r="H120" i="12" s="1"/>
  <c r="F120" i="9"/>
  <c r="G120" i="9" s="1"/>
  <c r="H120" i="9" s="1"/>
  <c r="F99" i="12"/>
  <c r="G99" i="12" s="1"/>
  <c r="H99" i="12" s="1"/>
  <c r="F99" i="9"/>
  <c r="G99" i="9" s="1"/>
  <c r="H99" i="9" s="1"/>
  <c r="F99" i="11"/>
  <c r="G99" i="11" s="1"/>
  <c r="H99" i="11" s="1"/>
  <c r="F99" i="10"/>
  <c r="G99" i="10" s="1"/>
  <c r="H99" i="10" s="1"/>
  <c r="F25" i="11"/>
  <c r="G25" i="11" s="1"/>
  <c r="H25" i="11" s="1"/>
  <c r="F25" i="9"/>
  <c r="G25" i="9" s="1"/>
  <c r="H25" i="9" s="1"/>
  <c r="F25" i="10"/>
  <c r="G25" i="10" s="1"/>
  <c r="H25" i="10" s="1"/>
  <c r="F25" i="12"/>
  <c r="G25" i="12" s="1"/>
  <c r="H25" i="12" s="1"/>
  <c r="F115" i="12"/>
  <c r="G115" i="12" s="1"/>
  <c r="H115" i="12" s="1"/>
  <c r="F115" i="10"/>
  <c r="G115" i="10" s="1"/>
  <c r="H115" i="10" s="1"/>
  <c r="F115" i="9"/>
  <c r="G115" i="9" s="1"/>
  <c r="H115" i="9" s="1"/>
  <c r="F115" i="11"/>
  <c r="G115" i="11" s="1"/>
  <c r="H115" i="11" s="1"/>
  <c r="F182" i="10"/>
  <c r="G182" i="10" s="1"/>
  <c r="H182" i="10" s="1"/>
  <c r="F182" i="11"/>
  <c r="G182" i="11" s="1"/>
  <c r="H182" i="11" s="1"/>
  <c r="F182" i="9"/>
  <c r="G182" i="9" s="1"/>
  <c r="H182" i="9" s="1"/>
  <c r="F182" i="12"/>
  <c r="G182" i="12" s="1"/>
  <c r="H182" i="12" s="1"/>
  <c r="F263" i="12"/>
  <c r="G263" i="12" s="1"/>
  <c r="H263" i="12" s="1"/>
  <c r="F263" i="11"/>
  <c r="G263" i="11" s="1"/>
  <c r="H263" i="11" s="1"/>
  <c r="F275" i="12"/>
  <c r="G275" i="12" s="1"/>
  <c r="H275" i="12" s="1"/>
  <c r="F275" i="11"/>
  <c r="G275" i="11" s="1"/>
  <c r="H275" i="11" s="1"/>
  <c r="F241" i="12"/>
  <c r="G241" i="12" s="1"/>
  <c r="H241" i="12" s="1"/>
  <c r="F36" i="12"/>
  <c r="G36" i="12" s="1"/>
  <c r="H36" i="12" s="1"/>
  <c r="F181" i="11"/>
  <c r="G181" i="11" s="1"/>
  <c r="H181" i="11" s="1"/>
  <c r="F108" i="11"/>
  <c r="G108" i="11" s="1"/>
  <c r="H108" i="11" s="1"/>
  <c r="F54" i="11"/>
  <c r="G54" i="11" s="1"/>
  <c r="H54" i="11" s="1"/>
  <c r="F47" i="11"/>
  <c r="G47" i="11" s="1"/>
  <c r="H47" i="11" s="1"/>
  <c r="F108" i="12"/>
  <c r="G108" i="12" s="1"/>
  <c r="H108" i="12" s="1"/>
  <c r="F256" i="12"/>
  <c r="G256" i="12" s="1"/>
  <c r="H256" i="12" s="1"/>
  <c r="F241" i="11"/>
  <c r="G241" i="11" s="1"/>
  <c r="H241" i="11" s="1"/>
  <c r="F181" i="9"/>
  <c r="G181" i="9" s="1"/>
  <c r="H181" i="9" s="1"/>
  <c r="F54" i="10"/>
  <c r="G54" i="10" s="1"/>
  <c r="H54" i="10" s="1"/>
  <c r="F47" i="10"/>
  <c r="G47" i="10" s="1"/>
  <c r="H47" i="10" s="1"/>
  <c r="F14" i="10"/>
  <c r="G14" i="10" s="1"/>
  <c r="H14" i="10" s="1"/>
  <c r="F14" i="11"/>
  <c r="G14" i="11" s="1"/>
  <c r="H14" i="11" s="1"/>
  <c r="F219" i="9"/>
  <c r="G219" i="9" s="1"/>
  <c r="H219" i="9" s="1"/>
  <c r="F159" i="9"/>
  <c r="G159" i="9" s="1"/>
  <c r="H159" i="9" s="1"/>
  <c r="F84" i="9"/>
  <c r="G84" i="9" s="1"/>
  <c r="H84" i="9" s="1"/>
  <c r="F32" i="12"/>
  <c r="G32" i="12" s="1"/>
  <c r="H32" i="12" s="1"/>
  <c r="F241" i="9"/>
  <c r="G241" i="9" s="1"/>
  <c r="H241" i="9" s="1"/>
  <c r="F84" i="12"/>
  <c r="G84" i="12" s="1"/>
  <c r="H84" i="12" s="1"/>
  <c r="F54" i="9"/>
  <c r="G54" i="9" s="1"/>
  <c r="H54" i="9" s="1"/>
  <c r="F159" i="10"/>
  <c r="G159" i="10" s="1"/>
  <c r="H159" i="10" s="1"/>
  <c r="F14" i="12"/>
  <c r="G14" i="12" s="1"/>
  <c r="H14" i="12" s="1"/>
  <c r="F32" i="10"/>
  <c r="G32" i="10" s="1"/>
  <c r="H32" i="10" s="1"/>
  <c r="F84" i="10"/>
  <c r="G84" i="10" s="1"/>
  <c r="H84" i="10" s="1"/>
  <c r="F47" i="9"/>
  <c r="G47" i="9" s="1"/>
  <c r="H47" i="9" s="1"/>
  <c r="F251" i="11"/>
  <c r="G251" i="11" s="1"/>
  <c r="H251" i="11" s="1"/>
  <c r="F108" i="9"/>
  <c r="G108" i="9" s="1"/>
  <c r="H108" i="9" s="1"/>
  <c r="F47" i="12"/>
  <c r="G47" i="12" s="1"/>
  <c r="H47" i="12" s="1"/>
  <c r="F36" i="11"/>
  <c r="G36" i="11" s="1"/>
  <c r="H36" i="11" s="1"/>
  <c r="F14" i="9"/>
  <c r="G14" i="9" s="1"/>
  <c r="H14" i="9" s="1"/>
  <c r="F36" i="9"/>
  <c r="G36" i="9" s="1"/>
  <c r="H36" i="9" s="1"/>
  <c r="F256" i="11"/>
  <c r="G256" i="11" s="1"/>
  <c r="H256" i="11" s="1"/>
  <c r="F219" i="10"/>
  <c r="G219" i="10" s="1"/>
  <c r="H219" i="10" s="1"/>
  <c r="F181" i="12"/>
  <c r="G181" i="12" s="1"/>
  <c r="H181" i="12" s="1"/>
  <c r="F116" i="12"/>
  <c r="G116" i="12" s="1"/>
  <c r="H116" i="12" s="1"/>
  <c r="F219" i="11"/>
  <c r="G219" i="11" s="1"/>
  <c r="H219" i="11" s="1"/>
  <c r="F32" i="9"/>
  <c r="G32" i="9" s="1"/>
  <c r="H32" i="9" s="1"/>
  <c r="F116" i="11"/>
  <c r="G116" i="11" s="1"/>
  <c r="H116" i="11" s="1"/>
  <c r="F84" i="11"/>
  <c r="G84" i="11" s="1"/>
  <c r="H84" i="11" s="1"/>
  <c r="F116" i="9"/>
  <c r="G116" i="9" s="1"/>
  <c r="H116" i="9" s="1"/>
  <c r="F32" i="11"/>
  <c r="G32" i="11" s="1"/>
  <c r="H32" i="11" s="1"/>
  <c r="F36" i="10"/>
  <c r="G36" i="10" s="1"/>
  <c r="H36" i="10" s="1"/>
  <c r="F251" i="12"/>
  <c r="G251" i="12" s="1"/>
  <c r="H251" i="12" s="1"/>
  <c r="F159" i="12"/>
  <c r="G159" i="12" s="1"/>
  <c r="H159" i="12" s="1"/>
  <c r="F219" i="12"/>
  <c r="G219" i="12" s="1"/>
  <c r="H219" i="12" s="1"/>
  <c r="F54" i="12"/>
  <c r="G54" i="12" s="1"/>
  <c r="H54" i="12" s="1"/>
  <c r="F108" i="10"/>
  <c r="G108" i="10" s="1"/>
  <c r="H108" i="10" s="1"/>
  <c r="F116" i="10"/>
  <c r="G116" i="10" s="1"/>
  <c r="H116" i="10" s="1"/>
  <c r="F159" i="11"/>
  <c r="G159" i="11" s="1"/>
  <c r="H159" i="11" s="1"/>
  <c r="F181" i="10"/>
  <c r="G181" i="10" s="1"/>
  <c r="H181" i="10" s="1"/>
  <c r="F217" i="11"/>
  <c r="G217" i="11" s="1"/>
  <c r="H217" i="11" s="1"/>
  <c r="F217" i="12"/>
  <c r="G217" i="12" s="1"/>
  <c r="H217" i="12" s="1"/>
  <c r="F217" i="9"/>
  <c r="G217" i="9" s="1"/>
  <c r="H217" i="9" s="1"/>
  <c r="F217" i="10"/>
  <c r="G217" i="10" s="1"/>
  <c r="H217" i="10" s="1"/>
  <c r="F61" i="9"/>
  <c r="G61" i="9" s="1"/>
  <c r="H61" i="9" s="1"/>
  <c r="F61" i="10"/>
  <c r="G61" i="10" s="1"/>
  <c r="H61" i="10" s="1"/>
  <c r="F61" i="12"/>
  <c r="G61" i="12" s="1"/>
  <c r="H61" i="12" s="1"/>
  <c r="F61" i="11"/>
  <c r="G61" i="11" s="1"/>
  <c r="H61" i="11" s="1"/>
  <c r="F250" i="12"/>
  <c r="G250" i="12" s="1"/>
  <c r="H250" i="12" s="1"/>
  <c r="F250" i="11"/>
  <c r="G250" i="11" s="1"/>
  <c r="H250" i="11" s="1"/>
  <c r="F235" i="1"/>
  <c r="G235" i="1" s="1"/>
  <c r="H235" i="1" s="1"/>
  <c r="F78" i="10"/>
  <c r="G78" i="10" s="1"/>
  <c r="H78" i="10" s="1"/>
  <c r="F78" i="11"/>
  <c r="G78" i="11" s="1"/>
  <c r="H78" i="11" s="1"/>
  <c r="F78" i="12"/>
  <c r="G78" i="12" s="1"/>
  <c r="H78" i="12" s="1"/>
  <c r="F78" i="9"/>
  <c r="G78" i="9" s="1"/>
  <c r="H78" i="9" s="1"/>
  <c r="F167" i="9"/>
  <c r="G167" i="9" s="1"/>
  <c r="H167" i="9" s="1"/>
  <c r="F167" i="12"/>
  <c r="G167" i="12" s="1"/>
  <c r="H167" i="12" s="1"/>
  <c r="F167" i="10"/>
  <c r="G167" i="10" s="1"/>
  <c r="H167" i="10" s="1"/>
  <c r="F167" i="11"/>
  <c r="G167" i="11" s="1"/>
  <c r="H167" i="11" s="1"/>
  <c r="F275" i="1"/>
  <c r="G275" i="1" s="1"/>
  <c r="H275" i="1" s="1"/>
  <c r="F183" i="9"/>
  <c r="G183" i="9" s="1"/>
  <c r="H183" i="9" s="1"/>
  <c r="F183" i="12"/>
  <c r="G183" i="12" s="1"/>
  <c r="H183" i="12" s="1"/>
  <c r="F183" i="11"/>
  <c r="G183" i="11" s="1"/>
  <c r="H183" i="11" s="1"/>
  <c r="F183" i="10"/>
  <c r="G183" i="10" s="1"/>
  <c r="H183" i="10" s="1"/>
  <c r="F190" i="9"/>
  <c r="G190" i="9" s="1"/>
  <c r="H190" i="9" s="1"/>
  <c r="F190" i="10"/>
  <c r="G190" i="10" s="1"/>
  <c r="H190" i="10" s="1"/>
  <c r="F190" i="12"/>
  <c r="G190" i="12" s="1"/>
  <c r="H190" i="12" s="1"/>
  <c r="F190" i="11"/>
  <c r="G190" i="11" s="1"/>
  <c r="H190" i="11" s="1"/>
  <c r="F266" i="2"/>
  <c r="G266" i="2" s="1"/>
  <c r="H266" i="2" s="1"/>
  <c r="F266" i="12"/>
  <c r="G266" i="12" s="1"/>
  <c r="H266" i="12" s="1"/>
  <c r="F266" i="11"/>
  <c r="G266" i="11" s="1"/>
  <c r="H266" i="11" s="1"/>
  <c r="F207" i="9"/>
  <c r="G207" i="9" s="1"/>
  <c r="H207" i="9" s="1"/>
  <c r="F207" i="10"/>
  <c r="G207" i="10" s="1"/>
  <c r="H207" i="10" s="1"/>
  <c r="F207" i="11"/>
  <c r="G207" i="11" s="1"/>
  <c r="H207" i="11" s="1"/>
  <c r="F207" i="12"/>
  <c r="G207" i="12" s="1"/>
  <c r="H207" i="12" s="1"/>
  <c r="F228" i="12"/>
  <c r="G228" i="12" s="1"/>
  <c r="H228" i="12" s="1"/>
  <c r="F228" i="9"/>
  <c r="G228" i="9" s="1"/>
  <c r="H228" i="9" s="1"/>
  <c r="F228" i="11"/>
  <c r="G228" i="11" s="1"/>
  <c r="H228" i="11" s="1"/>
  <c r="F173" i="1"/>
  <c r="G173" i="1" s="1"/>
  <c r="H173" i="1" s="1"/>
  <c r="F121" i="11"/>
  <c r="G121" i="11" s="1"/>
  <c r="H121" i="11" s="1"/>
  <c r="F121" i="9"/>
  <c r="G121" i="9" s="1"/>
  <c r="H121" i="9" s="1"/>
  <c r="F121" i="12"/>
  <c r="G121" i="12" s="1"/>
  <c r="H121" i="12" s="1"/>
  <c r="F121" i="10"/>
  <c r="G121" i="10" s="1"/>
  <c r="H121" i="10" s="1"/>
  <c r="F200" i="12"/>
  <c r="G200" i="12" s="1"/>
  <c r="H200" i="12" s="1"/>
  <c r="F75" i="11"/>
  <c r="G75" i="11" s="1"/>
  <c r="H75" i="11" s="1"/>
  <c r="F104" i="12"/>
  <c r="G104" i="12" s="1"/>
  <c r="H104" i="12" s="1"/>
  <c r="F28" i="12"/>
  <c r="G28" i="12" s="1"/>
  <c r="H28" i="12" s="1"/>
  <c r="F129" i="12"/>
  <c r="G129" i="12" s="1"/>
  <c r="H129" i="12" s="1"/>
  <c r="F87" i="12"/>
  <c r="G87" i="12" s="1"/>
  <c r="H87" i="12" s="1"/>
  <c r="F129" i="11"/>
  <c r="G129" i="11" s="1"/>
  <c r="H129" i="11" s="1"/>
  <c r="F87" i="11"/>
  <c r="G87" i="11" s="1"/>
  <c r="H87" i="11" s="1"/>
  <c r="F87" i="10"/>
  <c r="G87" i="10" s="1"/>
  <c r="H87" i="10" s="1"/>
  <c r="F140" i="11"/>
  <c r="G140" i="11" s="1"/>
  <c r="H140" i="11" s="1"/>
  <c r="F75" i="9"/>
  <c r="G75" i="9" s="1"/>
  <c r="H75" i="9" s="1"/>
  <c r="F200" i="10"/>
  <c r="G200" i="10" s="1"/>
  <c r="H200" i="10" s="1"/>
  <c r="F141" i="12"/>
  <c r="G141" i="12" s="1"/>
  <c r="H141" i="12" s="1"/>
  <c r="F75" i="10"/>
  <c r="G75" i="10" s="1"/>
  <c r="H75" i="10" s="1"/>
  <c r="F141" i="9"/>
  <c r="G141" i="9" s="1"/>
  <c r="H141" i="9" s="1"/>
  <c r="F129" i="9"/>
  <c r="G129" i="9" s="1"/>
  <c r="H129" i="9" s="1"/>
  <c r="F129" i="10"/>
  <c r="G129" i="10" s="1"/>
  <c r="H129" i="10" s="1"/>
  <c r="F114" i="11"/>
  <c r="G114" i="11" s="1"/>
  <c r="H114" i="11" s="1"/>
  <c r="F210" i="10"/>
  <c r="G210" i="10" s="1"/>
  <c r="H210" i="10" s="1"/>
  <c r="F134" i="12"/>
  <c r="G134" i="12" s="1"/>
  <c r="H134" i="12" s="1"/>
  <c r="F28" i="9"/>
  <c r="G28" i="9" s="1"/>
  <c r="H28" i="9" s="1"/>
  <c r="F28" i="10"/>
  <c r="G28" i="10" s="1"/>
  <c r="H28" i="10" s="1"/>
  <c r="F140" i="9"/>
  <c r="G140" i="9" s="1"/>
  <c r="H140" i="9" s="1"/>
  <c r="F104" i="9"/>
  <c r="G104" i="9" s="1"/>
  <c r="H104" i="9" s="1"/>
  <c r="F28" i="11"/>
  <c r="G28" i="11" s="1"/>
  <c r="H28" i="11" s="1"/>
  <c r="F104" i="10"/>
  <c r="G104" i="10" s="1"/>
  <c r="H104" i="10" s="1"/>
  <c r="F75" i="12"/>
  <c r="G75" i="12" s="1"/>
  <c r="H75" i="12" s="1"/>
  <c r="F200" i="9"/>
  <c r="G200" i="9" s="1"/>
  <c r="H200" i="9" s="1"/>
  <c r="F210" i="9"/>
  <c r="G210" i="9" s="1"/>
  <c r="H210" i="9" s="1"/>
  <c r="F114" i="10"/>
  <c r="G114" i="10" s="1"/>
  <c r="H114" i="10" s="1"/>
  <c r="F87" i="9"/>
  <c r="G87" i="9" s="1"/>
  <c r="H87" i="9" s="1"/>
  <c r="F114" i="12"/>
  <c r="G114" i="12" s="1"/>
  <c r="H114" i="12" s="1"/>
  <c r="F134" i="11"/>
  <c r="G134" i="11" s="1"/>
  <c r="H134" i="11" s="1"/>
  <c r="F134" i="10"/>
  <c r="G134" i="10" s="1"/>
  <c r="H134" i="10" s="1"/>
  <c r="F200" i="11"/>
  <c r="G200" i="11" s="1"/>
  <c r="H200" i="11" s="1"/>
  <c r="F141" i="11"/>
  <c r="G141" i="11" s="1"/>
  <c r="H141" i="11" s="1"/>
  <c r="F210" i="11"/>
  <c r="G210" i="11" s="1"/>
  <c r="H210" i="11" s="1"/>
  <c r="F271" i="12"/>
  <c r="G271" i="12" s="1"/>
  <c r="H271" i="12" s="1"/>
  <c r="F140" i="12"/>
  <c r="G140" i="12" s="1"/>
  <c r="H140" i="12" s="1"/>
  <c r="F279" i="11"/>
  <c r="G279" i="11" s="1"/>
  <c r="H279" i="11" s="1"/>
  <c r="F114" i="9"/>
  <c r="G114" i="9" s="1"/>
  <c r="H114" i="9" s="1"/>
  <c r="F140" i="10"/>
  <c r="G140" i="10" s="1"/>
  <c r="H140" i="10" s="1"/>
  <c r="F141" i="10"/>
  <c r="G141" i="10" s="1"/>
  <c r="H141" i="10" s="1"/>
  <c r="F279" i="12"/>
  <c r="G279" i="12" s="1"/>
  <c r="H279" i="12" s="1"/>
  <c r="F271" i="11"/>
  <c r="G271" i="11" s="1"/>
  <c r="H271" i="11" s="1"/>
  <c r="F134" i="9"/>
  <c r="G134" i="9" s="1"/>
  <c r="H134" i="9" s="1"/>
  <c r="F210" i="12"/>
  <c r="G210" i="12" s="1"/>
  <c r="H210" i="12" s="1"/>
  <c r="F104" i="11"/>
  <c r="G104" i="11" s="1"/>
  <c r="H104" i="11" s="1"/>
  <c r="F59" i="11"/>
  <c r="G59" i="11" s="1"/>
  <c r="H59" i="11" s="1"/>
  <c r="F59" i="10"/>
  <c r="G59" i="10" s="1"/>
  <c r="H59" i="10" s="1"/>
  <c r="F59" i="12"/>
  <c r="G59" i="12" s="1"/>
  <c r="H59" i="12" s="1"/>
  <c r="F59" i="9"/>
  <c r="G59" i="9" s="1"/>
  <c r="H59" i="9" s="1"/>
  <c r="F38" i="11"/>
  <c r="G38" i="11" s="1"/>
  <c r="H38" i="11" s="1"/>
  <c r="F38" i="10"/>
  <c r="G38" i="10" s="1"/>
  <c r="H38" i="10" s="1"/>
  <c r="F38" i="9"/>
  <c r="G38" i="9" s="1"/>
  <c r="H38" i="9" s="1"/>
  <c r="F38" i="12"/>
  <c r="G38" i="12" s="1"/>
  <c r="H38" i="12" s="1"/>
  <c r="F259" i="11"/>
  <c r="G259" i="11" s="1"/>
  <c r="H259" i="11" s="1"/>
  <c r="F259" i="12"/>
  <c r="G259" i="12" s="1"/>
  <c r="H259" i="12" s="1"/>
  <c r="F235" i="9"/>
  <c r="G235" i="9" s="1"/>
  <c r="H235" i="9" s="1"/>
  <c r="F235" i="12"/>
  <c r="G235" i="12" s="1"/>
  <c r="H235" i="12" s="1"/>
  <c r="F235" i="11"/>
  <c r="G235" i="11" s="1"/>
  <c r="H235" i="11" s="1"/>
  <c r="F74" i="11"/>
  <c r="G74" i="11" s="1"/>
  <c r="H74" i="11" s="1"/>
  <c r="F74" i="10"/>
  <c r="G74" i="10" s="1"/>
  <c r="H74" i="10" s="1"/>
  <c r="F74" i="12"/>
  <c r="G74" i="12" s="1"/>
  <c r="H74" i="12" s="1"/>
  <c r="F74" i="9"/>
  <c r="G74" i="9" s="1"/>
  <c r="H74" i="9" s="1"/>
  <c r="F107" i="10"/>
  <c r="G107" i="10" s="1"/>
  <c r="H107" i="10" s="1"/>
  <c r="F107" i="12"/>
  <c r="G107" i="12" s="1"/>
  <c r="H107" i="12" s="1"/>
  <c r="F107" i="11"/>
  <c r="G107" i="11" s="1"/>
  <c r="H107" i="11" s="1"/>
  <c r="F107" i="9"/>
  <c r="G107" i="9" s="1"/>
  <c r="H107" i="9" s="1"/>
  <c r="F187" i="10"/>
  <c r="G187" i="10" s="1"/>
  <c r="H187" i="10" s="1"/>
  <c r="F187" i="9"/>
  <c r="G187" i="9" s="1"/>
  <c r="H187" i="9" s="1"/>
  <c r="F187" i="11"/>
  <c r="G187" i="11" s="1"/>
  <c r="H187" i="11" s="1"/>
  <c r="F187" i="12"/>
  <c r="G187" i="12" s="1"/>
  <c r="H187" i="12" s="1"/>
  <c r="F236" i="12"/>
  <c r="G236" i="12" s="1"/>
  <c r="H236" i="12" s="1"/>
  <c r="F236" i="9"/>
  <c r="G236" i="9" s="1"/>
  <c r="H236" i="9" s="1"/>
  <c r="F236" i="11"/>
  <c r="G236" i="11" s="1"/>
  <c r="H236" i="11" s="1"/>
  <c r="F94" i="10"/>
  <c r="G94" i="10" s="1"/>
  <c r="H94" i="10" s="1"/>
  <c r="F196" i="12"/>
  <c r="G196" i="12" s="1"/>
  <c r="H196" i="12" s="1"/>
  <c r="F222" i="11"/>
  <c r="G222" i="11" s="1"/>
  <c r="H222" i="11" s="1"/>
  <c r="F94" i="11"/>
  <c r="G94" i="11" s="1"/>
  <c r="H94" i="11" s="1"/>
  <c r="F94" i="9"/>
  <c r="G94" i="9" s="1"/>
  <c r="H94" i="9" s="1"/>
  <c r="F222" i="9"/>
  <c r="G222" i="9" s="1"/>
  <c r="H222" i="9" s="1"/>
  <c r="F196" i="9"/>
  <c r="G196" i="9" s="1"/>
  <c r="H196" i="9" s="1"/>
  <c r="F222" i="10"/>
  <c r="G222" i="10" s="1"/>
  <c r="H222" i="10" s="1"/>
  <c r="F196" i="11"/>
  <c r="G196" i="11" s="1"/>
  <c r="H196" i="11" s="1"/>
  <c r="F196" i="10"/>
  <c r="G196" i="10" s="1"/>
  <c r="H196" i="10" s="1"/>
  <c r="F94" i="12"/>
  <c r="G94" i="12" s="1"/>
  <c r="H94" i="12" s="1"/>
  <c r="F222" i="12"/>
  <c r="G222" i="12" s="1"/>
  <c r="H222" i="12" s="1"/>
  <c r="F154" i="12"/>
  <c r="G154" i="12" s="1"/>
  <c r="H154" i="12" s="1"/>
  <c r="F154" i="9"/>
  <c r="G154" i="9" s="1"/>
  <c r="H154" i="9" s="1"/>
  <c r="F154" i="10"/>
  <c r="G154" i="10" s="1"/>
  <c r="H154" i="10" s="1"/>
  <c r="F154" i="11"/>
  <c r="G154" i="11" s="1"/>
  <c r="H154" i="11" s="1"/>
  <c r="F85" i="10"/>
  <c r="G85" i="10" s="1"/>
  <c r="H85" i="10" s="1"/>
  <c r="F85" i="9"/>
  <c r="G85" i="9" s="1"/>
  <c r="H85" i="9" s="1"/>
  <c r="F85" i="12"/>
  <c r="G85" i="12" s="1"/>
  <c r="H85" i="12" s="1"/>
  <c r="F150" i="9"/>
  <c r="G150" i="9" s="1"/>
  <c r="H150" i="9" s="1"/>
  <c r="F150" i="11"/>
  <c r="G150" i="11" s="1"/>
  <c r="H150" i="11" s="1"/>
  <c r="F150" i="10"/>
  <c r="G150" i="10" s="1"/>
  <c r="H150" i="10" s="1"/>
  <c r="F150" i="12"/>
  <c r="G150" i="12" s="1"/>
  <c r="H150" i="12" s="1"/>
  <c r="F85" i="11"/>
  <c r="G85" i="11" s="1"/>
  <c r="H85" i="11" s="1"/>
  <c r="F79" i="12"/>
  <c r="G79" i="12" s="1"/>
  <c r="H79" i="12" s="1"/>
  <c r="F79" i="11"/>
  <c r="G79" i="11" s="1"/>
  <c r="H79" i="11" s="1"/>
  <c r="F79" i="10"/>
  <c r="G79" i="10" s="1"/>
  <c r="H79" i="10" s="1"/>
  <c r="F79" i="9"/>
  <c r="G79" i="9" s="1"/>
  <c r="H79" i="9" s="1"/>
  <c r="F227" i="9"/>
  <c r="G227" i="9" s="1"/>
  <c r="H227" i="9" s="1"/>
  <c r="F227" i="12"/>
  <c r="G227" i="12" s="1"/>
  <c r="H227" i="12" s="1"/>
  <c r="F227" i="11"/>
  <c r="G227" i="11" s="1"/>
  <c r="H227" i="11" s="1"/>
  <c r="F22" i="11"/>
  <c r="G22" i="11" s="1"/>
  <c r="H22" i="11" s="1"/>
  <c r="F22" i="10"/>
  <c r="G22" i="10" s="1"/>
  <c r="H22" i="10" s="1"/>
  <c r="F22" i="12"/>
  <c r="G22" i="12" s="1"/>
  <c r="H22" i="12" s="1"/>
  <c r="F22" i="9"/>
  <c r="G22" i="9" s="1"/>
  <c r="H22" i="9" s="1"/>
  <c r="F281" i="1"/>
  <c r="G281" i="1" s="1"/>
  <c r="H281" i="1" s="1"/>
  <c r="F184" i="12"/>
  <c r="G184" i="12" s="1"/>
  <c r="H184" i="12" s="1"/>
  <c r="F184" i="10"/>
  <c r="G184" i="10" s="1"/>
  <c r="H184" i="10" s="1"/>
  <c r="F184" i="9"/>
  <c r="G184" i="9" s="1"/>
  <c r="H184" i="9" s="1"/>
  <c r="F184" i="11"/>
  <c r="G184" i="11" s="1"/>
  <c r="H184" i="11" s="1"/>
  <c r="F265" i="2"/>
  <c r="G265" i="2" s="1"/>
  <c r="H265" i="2" s="1"/>
  <c r="F63" i="11"/>
  <c r="G63" i="11" s="1"/>
  <c r="H63" i="11" s="1"/>
  <c r="F265" i="12"/>
  <c r="G265" i="12" s="1"/>
  <c r="H265" i="12" s="1"/>
  <c r="F63" i="10"/>
  <c r="G63" i="10" s="1"/>
  <c r="H63" i="10" s="1"/>
  <c r="F46" i="11"/>
  <c r="G46" i="11" s="1"/>
  <c r="H46" i="11" s="1"/>
  <c r="F46" i="10"/>
  <c r="G46" i="10" s="1"/>
  <c r="H46" i="10" s="1"/>
  <c r="F265" i="11"/>
  <c r="G265" i="11" s="1"/>
  <c r="H265" i="11" s="1"/>
  <c r="F63" i="9"/>
  <c r="G63" i="9" s="1"/>
  <c r="H63" i="9" s="1"/>
  <c r="F46" i="12"/>
  <c r="G46" i="12" s="1"/>
  <c r="H46" i="12" s="1"/>
  <c r="F63" i="12"/>
  <c r="G63" i="12" s="1"/>
  <c r="H63" i="12" s="1"/>
  <c r="F46" i="9"/>
  <c r="G46" i="9" s="1"/>
  <c r="H46" i="9" s="1"/>
  <c r="F174" i="10"/>
  <c r="G174" i="10" s="1"/>
  <c r="H174" i="10" s="1"/>
  <c r="F174" i="9"/>
  <c r="G174" i="9" s="1"/>
  <c r="H174" i="9" s="1"/>
  <c r="F174" i="11"/>
  <c r="G174" i="11" s="1"/>
  <c r="H174" i="11" s="1"/>
  <c r="F174" i="12"/>
  <c r="G174" i="12" s="1"/>
  <c r="H174" i="12" s="1"/>
  <c r="F10" i="11"/>
  <c r="G10" i="11" s="1"/>
  <c r="H10" i="11" s="1"/>
  <c r="F10" i="10"/>
  <c r="G10" i="10" s="1"/>
  <c r="H10" i="10" s="1"/>
  <c r="F10" i="9"/>
  <c r="G10" i="9" s="1"/>
  <c r="H10" i="9" s="1"/>
  <c r="F10" i="12"/>
  <c r="G10" i="12" s="1"/>
  <c r="H10" i="12" s="1"/>
  <c r="F168" i="10"/>
  <c r="G168" i="10" s="1"/>
  <c r="H168" i="10" s="1"/>
  <c r="F168" i="12"/>
  <c r="G168" i="12" s="1"/>
  <c r="H168" i="12" s="1"/>
  <c r="F168" i="9"/>
  <c r="G168" i="9" s="1"/>
  <c r="H168" i="9" s="1"/>
  <c r="F168" i="11"/>
  <c r="G168" i="11" s="1"/>
  <c r="H168" i="11" s="1"/>
  <c r="F153" i="9"/>
  <c r="G153" i="9" s="1"/>
  <c r="H153" i="9" s="1"/>
  <c r="F153" i="11"/>
  <c r="G153" i="11" s="1"/>
  <c r="H153" i="11" s="1"/>
  <c r="F163" i="10"/>
  <c r="G163" i="10" s="1"/>
  <c r="H163" i="10" s="1"/>
  <c r="F153" i="10"/>
  <c r="G153" i="10" s="1"/>
  <c r="H153" i="10" s="1"/>
  <c r="F163" i="9"/>
  <c r="G163" i="9" s="1"/>
  <c r="H163" i="9" s="1"/>
  <c r="F163" i="12"/>
  <c r="G163" i="12" s="1"/>
  <c r="H163" i="12" s="1"/>
  <c r="F163" i="11"/>
  <c r="G163" i="11" s="1"/>
  <c r="H163" i="11" s="1"/>
  <c r="F41" i="9"/>
  <c r="G41" i="9" s="1"/>
  <c r="H41" i="9" s="1"/>
  <c r="F153" i="12"/>
  <c r="G153" i="12" s="1"/>
  <c r="H153" i="12" s="1"/>
  <c r="F41" i="12"/>
  <c r="G41" i="12" s="1"/>
  <c r="H41" i="12" s="1"/>
  <c r="F41" i="11"/>
  <c r="G41" i="11" s="1"/>
  <c r="H41" i="11" s="1"/>
  <c r="F41" i="10"/>
  <c r="G41" i="10" s="1"/>
  <c r="H41" i="10" s="1"/>
  <c r="F262" i="12"/>
  <c r="G262" i="12" s="1"/>
  <c r="H262" i="12" s="1"/>
  <c r="F262" i="11"/>
  <c r="G262" i="11" s="1"/>
  <c r="H262" i="11" s="1"/>
  <c r="F72" i="12"/>
  <c r="G72" i="12" s="1"/>
  <c r="H72" i="12" s="1"/>
  <c r="F72" i="10"/>
  <c r="G72" i="10" s="1"/>
  <c r="H72" i="10" s="1"/>
  <c r="F72" i="9"/>
  <c r="G72" i="9" s="1"/>
  <c r="H72" i="9" s="1"/>
  <c r="F72" i="11"/>
  <c r="G72" i="11" s="1"/>
  <c r="H72" i="11" s="1"/>
  <c r="F172" i="11"/>
  <c r="G172" i="11" s="1"/>
  <c r="H172" i="11" s="1"/>
  <c r="F172" i="12"/>
  <c r="G172" i="12" s="1"/>
  <c r="H172" i="12" s="1"/>
  <c r="F172" i="9"/>
  <c r="G172" i="9" s="1"/>
  <c r="H172" i="9" s="1"/>
  <c r="F172" i="10"/>
  <c r="G172" i="10" s="1"/>
  <c r="H172" i="10" s="1"/>
  <c r="F304" i="1"/>
  <c r="G304" i="1" s="1"/>
  <c r="H304" i="1" s="1"/>
  <c r="F240" i="12"/>
  <c r="G240" i="12" s="1"/>
  <c r="H240" i="12" s="1"/>
  <c r="F240" i="9"/>
  <c r="G240" i="9" s="1"/>
  <c r="H240" i="9" s="1"/>
  <c r="F240" i="11"/>
  <c r="G240" i="11" s="1"/>
  <c r="H240" i="11" s="1"/>
  <c r="F274" i="2"/>
  <c r="G274" i="2" s="1"/>
  <c r="H274" i="2" s="1"/>
  <c r="F274" i="12"/>
  <c r="G274" i="12" s="1"/>
  <c r="H274" i="12" s="1"/>
  <c r="F274" i="11"/>
  <c r="G274" i="11" s="1"/>
  <c r="H274" i="11" s="1"/>
  <c r="F40" i="12"/>
  <c r="G40" i="12" s="1"/>
  <c r="H40" i="12" s="1"/>
  <c r="F40" i="11"/>
  <c r="G40" i="11" s="1"/>
  <c r="H40" i="11" s="1"/>
  <c r="F40" i="10"/>
  <c r="G40" i="10" s="1"/>
  <c r="H40" i="10" s="1"/>
  <c r="F40" i="9"/>
  <c r="G40" i="9" s="1"/>
  <c r="H40" i="9" s="1"/>
  <c r="F70" i="11"/>
  <c r="G70" i="11" s="1"/>
  <c r="H70" i="11" s="1"/>
  <c r="F93" i="9"/>
  <c r="G93" i="9" s="1"/>
  <c r="H93" i="9" s="1"/>
  <c r="F70" i="10"/>
  <c r="G70" i="10" s="1"/>
  <c r="H70" i="10" s="1"/>
  <c r="F136" i="10"/>
  <c r="G136" i="10" s="1"/>
  <c r="H136" i="10" s="1"/>
  <c r="F136" i="11"/>
  <c r="G136" i="11" s="1"/>
  <c r="H136" i="11" s="1"/>
  <c r="F70" i="12"/>
  <c r="G70" i="12" s="1"/>
  <c r="H70" i="12" s="1"/>
  <c r="F93" i="12"/>
  <c r="G93" i="12" s="1"/>
  <c r="H93" i="12" s="1"/>
  <c r="F93" i="10"/>
  <c r="G93" i="10" s="1"/>
  <c r="H93" i="10" s="1"/>
  <c r="F70" i="9"/>
  <c r="G70" i="9" s="1"/>
  <c r="H70" i="9" s="1"/>
  <c r="F136" i="9"/>
  <c r="G136" i="9" s="1"/>
  <c r="H136" i="9" s="1"/>
  <c r="F93" i="11"/>
  <c r="G93" i="11" s="1"/>
  <c r="H93" i="11" s="1"/>
  <c r="F136" i="12"/>
  <c r="G136" i="12" s="1"/>
  <c r="H136" i="12" s="1"/>
  <c r="F193" i="12"/>
  <c r="G193" i="12" s="1"/>
  <c r="H193" i="12" s="1"/>
  <c r="F193" i="11"/>
  <c r="G193" i="11" s="1"/>
  <c r="H193" i="11" s="1"/>
  <c r="F193" i="10"/>
  <c r="G193" i="10" s="1"/>
  <c r="H193" i="10" s="1"/>
  <c r="F193" i="9"/>
  <c r="G193" i="9" s="1"/>
  <c r="H193" i="9" s="1"/>
  <c r="F205" i="11"/>
  <c r="G205" i="11" s="1"/>
  <c r="H205" i="11" s="1"/>
  <c r="F205" i="10"/>
  <c r="G205" i="10" s="1"/>
  <c r="H205" i="10" s="1"/>
  <c r="F205" i="9"/>
  <c r="G205" i="9" s="1"/>
  <c r="H205" i="9" s="1"/>
  <c r="F205" i="12"/>
  <c r="G205" i="12" s="1"/>
  <c r="H205" i="12" s="1"/>
  <c r="F68" i="12"/>
  <c r="G68" i="12" s="1"/>
  <c r="H68" i="12" s="1"/>
  <c r="F68" i="9"/>
  <c r="G68" i="9" s="1"/>
  <c r="H68" i="9" s="1"/>
  <c r="F68" i="10"/>
  <c r="G68" i="10" s="1"/>
  <c r="H68" i="10" s="1"/>
  <c r="F68" i="11"/>
  <c r="G68" i="11" s="1"/>
  <c r="H68" i="11" s="1"/>
  <c r="F5" i="12"/>
  <c r="G5" i="12" s="1"/>
  <c r="H5" i="12" s="1"/>
  <c r="F5" i="9"/>
  <c r="G5" i="9" s="1"/>
  <c r="H5" i="9" s="1"/>
  <c r="F5" i="10"/>
  <c r="G5" i="10" s="1"/>
  <c r="H5" i="10" s="1"/>
  <c r="F5" i="11"/>
  <c r="G5" i="11" s="1"/>
  <c r="H5" i="11" s="1"/>
  <c r="F96" i="12"/>
  <c r="G96" i="12" s="1"/>
  <c r="H96" i="12" s="1"/>
  <c r="F189" i="11"/>
  <c r="G189" i="11" s="1"/>
  <c r="H189" i="11" s="1"/>
  <c r="F96" i="10"/>
  <c r="G96" i="10" s="1"/>
  <c r="H96" i="10" s="1"/>
  <c r="F189" i="12"/>
  <c r="G189" i="12" s="1"/>
  <c r="H189" i="12" s="1"/>
  <c r="F139" i="10"/>
  <c r="G139" i="10" s="1"/>
  <c r="H139" i="10" s="1"/>
  <c r="F189" i="9"/>
  <c r="G189" i="9" s="1"/>
  <c r="H189" i="9" s="1"/>
  <c r="F189" i="10"/>
  <c r="G189" i="10" s="1"/>
  <c r="H189" i="10" s="1"/>
  <c r="F139" i="9"/>
  <c r="G139" i="9" s="1"/>
  <c r="H139" i="9" s="1"/>
  <c r="F139" i="11"/>
  <c r="G139" i="11" s="1"/>
  <c r="H139" i="11" s="1"/>
  <c r="F96" i="9"/>
  <c r="G96" i="9" s="1"/>
  <c r="H96" i="9" s="1"/>
  <c r="F139" i="12"/>
  <c r="G139" i="12" s="1"/>
  <c r="H139" i="12" s="1"/>
  <c r="F96" i="11"/>
  <c r="G96" i="11" s="1"/>
  <c r="H96" i="11" s="1"/>
  <c r="F27" i="11"/>
  <c r="G27" i="11" s="1"/>
  <c r="H27" i="11" s="1"/>
  <c r="F27" i="10"/>
  <c r="G27" i="10" s="1"/>
  <c r="H27" i="10" s="1"/>
  <c r="F27" i="9"/>
  <c r="G27" i="9" s="1"/>
  <c r="H27" i="9" s="1"/>
  <c r="F27" i="12"/>
  <c r="G27" i="12" s="1"/>
  <c r="H27" i="12" s="1"/>
  <c r="F100" i="10"/>
  <c r="G100" i="10" s="1"/>
  <c r="H100" i="10" s="1"/>
  <c r="F100" i="9"/>
  <c r="G100" i="9" s="1"/>
  <c r="H100" i="9" s="1"/>
  <c r="F100" i="12"/>
  <c r="G100" i="12" s="1"/>
  <c r="H100" i="12" s="1"/>
  <c r="F100" i="11"/>
  <c r="G100" i="11" s="1"/>
  <c r="H100" i="11" s="1"/>
  <c r="F151" i="12"/>
  <c r="G151" i="12" s="1"/>
  <c r="H151" i="12" s="1"/>
  <c r="F151" i="9"/>
  <c r="G151" i="9" s="1"/>
  <c r="H151" i="9" s="1"/>
  <c r="F151" i="11"/>
  <c r="G151" i="11" s="1"/>
  <c r="H151" i="11" s="1"/>
  <c r="F151" i="10"/>
  <c r="G151" i="10" s="1"/>
  <c r="H151" i="10" s="1"/>
  <c r="F297" i="1"/>
  <c r="G297" i="1" s="1"/>
  <c r="H297" i="1" s="1"/>
  <c r="F247" i="11"/>
  <c r="G247" i="11" s="1"/>
  <c r="H247" i="11" s="1"/>
  <c r="F247" i="12"/>
  <c r="G247" i="12" s="1"/>
  <c r="H247" i="12" s="1"/>
  <c r="F198" i="10"/>
  <c r="G198" i="10" s="1"/>
  <c r="H198" i="10" s="1"/>
  <c r="F255" i="11"/>
  <c r="G255" i="11" s="1"/>
  <c r="H255" i="11" s="1"/>
  <c r="F198" i="9"/>
  <c r="G198" i="9" s="1"/>
  <c r="H198" i="9" s="1"/>
  <c r="F198" i="12"/>
  <c r="G198" i="12" s="1"/>
  <c r="H198" i="12" s="1"/>
  <c r="F255" i="12"/>
  <c r="G255" i="12" s="1"/>
  <c r="H255" i="12" s="1"/>
  <c r="F198" i="11"/>
  <c r="G198" i="11" s="1"/>
  <c r="H198" i="11" s="1"/>
  <c r="F152" i="11"/>
  <c r="G152" i="11" s="1"/>
  <c r="H152" i="11" s="1"/>
  <c r="F152" i="10"/>
  <c r="G152" i="10" s="1"/>
  <c r="H152" i="10" s="1"/>
  <c r="F48" i="12"/>
  <c r="G48" i="12" s="1"/>
  <c r="H48" i="12" s="1"/>
  <c r="F152" i="12"/>
  <c r="G152" i="12" s="1"/>
  <c r="H152" i="12" s="1"/>
  <c r="F152" i="9"/>
  <c r="G152" i="9" s="1"/>
  <c r="H152" i="9" s="1"/>
  <c r="F48" i="11"/>
  <c r="G48" i="11" s="1"/>
  <c r="H48" i="11" s="1"/>
  <c r="F45" i="11"/>
  <c r="G45" i="11" s="1"/>
  <c r="H45" i="11" s="1"/>
  <c r="F45" i="9"/>
  <c r="G45" i="9" s="1"/>
  <c r="H45" i="9" s="1"/>
  <c r="F48" i="9"/>
  <c r="G48" i="9" s="1"/>
  <c r="H48" i="9" s="1"/>
  <c r="F45" i="12"/>
  <c r="G45" i="12" s="1"/>
  <c r="H45" i="12" s="1"/>
  <c r="F48" i="10"/>
  <c r="G48" i="10" s="1"/>
  <c r="H48" i="10" s="1"/>
  <c r="F45" i="10"/>
  <c r="G45" i="10" s="1"/>
  <c r="H45" i="10" s="1"/>
  <c r="F20" i="2"/>
  <c r="G20" i="2" s="1"/>
  <c r="H20" i="2" s="1"/>
  <c r="F214" i="12"/>
  <c r="G214" i="12" s="1"/>
  <c r="H214" i="12" s="1"/>
  <c r="F214" i="10"/>
  <c r="G214" i="10" s="1"/>
  <c r="H214" i="10" s="1"/>
  <c r="F214" i="9"/>
  <c r="G214" i="9" s="1"/>
  <c r="H214" i="9" s="1"/>
  <c r="F214" i="11"/>
  <c r="G214" i="11" s="1"/>
  <c r="H214" i="11" s="1"/>
  <c r="F229" i="12"/>
  <c r="G229" i="12" s="1"/>
  <c r="H229" i="12" s="1"/>
  <c r="F229" i="11"/>
  <c r="G229" i="11" s="1"/>
  <c r="H229" i="11" s="1"/>
  <c r="F229" i="9"/>
  <c r="G229" i="9" s="1"/>
  <c r="H229" i="9" s="1"/>
  <c r="F81" i="11"/>
  <c r="G81" i="11" s="1"/>
  <c r="H81" i="11" s="1"/>
  <c r="F81" i="10"/>
  <c r="G81" i="10" s="1"/>
  <c r="H81" i="10" s="1"/>
  <c r="F81" i="12"/>
  <c r="G81" i="12" s="1"/>
  <c r="H81" i="12" s="1"/>
  <c r="F81" i="9"/>
  <c r="G81" i="9" s="1"/>
  <c r="H81" i="9" s="1"/>
  <c r="F156" i="1"/>
  <c r="G156" i="1" s="1"/>
  <c r="H156" i="1" s="1"/>
  <c r="F268" i="12"/>
  <c r="G268" i="12" s="1"/>
  <c r="H268" i="12" s="1"/>
  <c r="F209" i="12"/>
  <c r="G209" i="12" s="1"/>
  <c r="H209" i="12" s="1"/>
  <c r="F276" i="11"/>
  <c r="G276" i="11" s="1"/>
  <c r="H276" i="11" s="1"/>
  <c r="F245" i="11"/>
  <c r="G245" i="11" s="1"/>
  <c r="H245" i="11" s="1"/>
  <c r="F213" i="11"/>
  <c r="G213" i="11" s="1"/>
  <c r="H213" i="11" s="1"/>
  <c r="F161" i="11"/>
  <c r="G161" i="11" s="1"/>
  <c r="H161" i="11" s="1"/>
  <c r="F66" i="11"/>
  <c r="G66" i="11" s="1"/>
  <c r="H66" i="11" s="1"/>
  <c r="F50" i="11"/>
  <c r="G50" i="11" s="1"/>
  <c r="H50" i="11" s="1"/>
  <c r="F88" i="12"/>
  <c r="G88" i="12" s="1"/>
  <c r="H88" i="12" s="1"/>
  <c r="F276" i="12"/>
  <c r="G276" i="12" s="1"/>
  <c r="H276" i="12" s="1"/>
  <c r="F245" i="12"/>
  <c r="G245" i="12" s="1"/>
  <c r="H245" i="12" s="1"/>
  <c r="F213" i="12"/>
  <c r="G213" i="12" s="1"/>
  <c r="H213" i="12" s="1"/>
  <c r="F204" i="12"/>
  <c r="G204" i="12" s="1"/>
  <c r="H204" i="12" s="1"/>
  <c r="F197" i="12"/>
  <c r="G197" i="12" s="1"/>
  <c r="H197" i="12" s="1"/>
  <c r="F24" i="12"/>
  <c r="G24" i="12" s="1"/>
  <c r="H24" i="12" s="1"/>
  <c r="F16" i="12"/>
  <c r="G16" i="12" s="1"/>
  <c r="H16" i="12" s="1"/>
  <c r="F280" i="11"/>
  <c r="G280" i="11" s="1"/>
  <c r="H280" i="11" s="1"/>
  <c r="F102" i="11"/>
  <c r="G102" i="11" s="1"/>
  <c r="H102" i="11" s="1"/>
  <c r="F280" i="12"/>
  <c r="G280" i="12" s="1"/>
  <c r="H280" i="12" s="1"/>
  <c r="F161" i="12"/>
  <c r="G161" i="12" s="1"/>
  <c r="H161" i="12" s="1"/>
  <c r="F197" i="11"/>
  <c r="G197" i="11" s="1"/>
  <c r="H197" i="11" s="1"/>
  <c r="F67" i="11"/>
  <c r="G67" i="11" s="1"/>
  <c r="H67" i="11" s="1"/>
  <c r="F58" i="11"/>
  <c r="G58" i="11" s="1"/>
  <c r="H58" i="11" s="1"/>
  <c r="F51" i="11"/>
  <c r="G51" i="11" s="1"/>
  <c r="H51" i="11" s="1"/>
  <c r="F268" i="11"/>
  <c r="G268" i="11" s="1"/>
  <c r="H268" i="11" s="1"/>
  <c r="F209" i="11"/>
  <c r="G209" i="11" s="1"/>
  <c r="H209" i="11" s="1"/>
  <c r="F173" i="11"/>
  <c r="G173" i="11" s="1"/>
  <c r="H173" i="11" s="1"/>
  <c r="F145" i="11"/>
  <c r="G145" i="11" s="1"/>
  <c r="H145" i="11" s="1"/>
  <c r="F60" i="12"/>
  <c r="G60" i="12" s="1"/>
  <c r="H60" i="12" s="1"/>
  <c r="F62" i="11"/>
  <c r="G62" i="11" s="1"/>
  <c r="H62" i="11" s="1"/>
  <c r="F204" i="10"/>
  <c r="G204" i="10" s="1"/>
  <c r="H204" i="10" s="1"/>
  <c r="F245" i="9"/>
  <c r="G245" i="9" s="1"/>
  <c r="H245" i="9" s="1"/>
  <c r="F213" i="9"/>
  <c r="G213" i="9" s="1"/>
  <c r="H213" i="9" s="1"/>
  <c r="F197" i="9"/>
  <c r="G197" i="9" s="1"/>
  <c r="H197" i="9" s="1"/>
  <c r="F253" i="12"/>
  <c r="G253" i="12" s="1"/>
  <c r="H253" i="12" s="1"/>
  <c r="F212" i="12"/>
  <c r="G212" i="12" s="1"/>
  <c r="H212" i="12" s="1"/>
  <c r="F9" i="12"/>
  <c r="G9" i="12" s="1"/>
  <c r="H9" i="12" s="1"/>
  <c r="F215" i="9"/>
  <c r="G215" i="9" s="1"/>
  <c r="H215" i="9" s="1"/>
  <c r="F212" i="10"/>
  <c r="G212" i="10" s="1"/>
  <c r="H212" i="10" s="1"/>
  <c r="F199" i="10"/>
  <c r="G199" i="10" s="1"/>
  <c r="H199" i="10" s="1"/>
  <c r="F197" i="10"/>
  <c r="G197" i="10" s="1"/>
  <c r="H197" i="10" s="1"/>
  <c r="F176" i="10"/>
  <c r="G176" i="10" s="1"/>
  <c r="H176" i="10" s="1"/>
  <c r="F155" i="10"/>
  <c r="G155" i="10" s="1"/>
  <c r="H155" i="10" s="1"/>
  <c r="F145" i="10"/>
  <c r="G145" i="10" s="1"/>
  <c r="H145" i="10" s="1"/>
  <c r="F67" i="10"/>
  <c r="G67" i="10" s="1"/>
  <c r="H67" i="10" s="1"/>
  <c r="F58" i="10"/>
  <c r="G58" i="10" s="1"/>
  <c r="H58" i="10" s="1"/>
  <c r="F51" i="10"/>
  <c r="G51" i="10" s="1"/>
  <c r="H51" i="10" s="1"/>
  <c r="F253" i="11"/>
  <c r="G253" i="11" s="1"/>
  <c r="H253" i="11" s="1"/>
  <c r="F30" i="11"/>
  <c r="G30" i="11" s="1"/>
  <c r="H30" i="11" s="1"/>
  <c r="F209" i="10"/>
  <c r="G209" i="10" s="1"/>
  <c r="H209" i="10" s="1"/>
  <c r="F161" i="10"/>
  <c r="G161" i="10" s="1"/>
  <c r="H161" i="10" s="1"/>
  <c r="F66" i="10"/>
  <c r="G66" i="10" s="1"/>
  <c r="H66" i="10" s="1"/>
  <c r="F145" i="9"/>
  <c r="G145" i="9" s="1"/>
  <c r="H145" i="9" s="1"/>
  <c r="F102" i="9"/>
  <c r="G102" i="9" s="1"/>
  <c r="H102" i="9" s="1"/>
  <c r="F223" i="9"/>
  <c r="G223" i="9" s="1"/>
  <c r="H223" i="9" s="1"/>
  <c r="F17" i="12"/>
  <c r="G17" i="12" s="1"/>
  <c r="H17" i="12" s="1"/>
  <c r="F209" i="9"/>
  <c r="G209" i="9" s="1"/>
  <c r="H209" i="9" s="1"/>
  <c r="F173" i="9"/>
  <c r="G173" i="9" s="1"/>
  <c r="H173" i="9" s="1"/>
  <c r="F161" i="9"/>
  <c r="G161" i="9" s="1"/>
  <c r="H161" i="9" s="1"/>
  <c r="F135" i="9"/>
  <c r="G135" i="9" s="1"/>
  <c r="H135" i="9" s="1"/>
  <c r="F213" i="10"/>
  <c r="G213" i="10" s="1"/>
  <c r="H213" i="10" s="1"/>
  <c r="F199" i="9"/>
  <c r="G199" i="9" s="1"/>
  <c r="H199" i="9" s="1"/>
  <c r="F50" i="10"/>
  <c r="G50" i="10" s="1"/>
  <c r="H50" i="10" s="1"/>
  <c r="F131" i="10"/>
  <c r="G131" i="10" s="1"/>
  <c r="H131" i="10" s="1"/>
  <c r="F62" i="10"/>
  <c r="G62" i="10" s="1"/>
  <c r="H62" i="10" s="1"/>
  <c r="F30" i="10"/>
  <c r="G30" i="10" s="1"/>
  <c r="H30" i="10" s="1"/>
  <c r="F243" i="9"/>
  <c r="G243" i="9" s="1"/>
  <c r="H243" i="9" s="1"/>
  <c r="F131" i="9"/>
  <c r="G131" i="9" s="1"/>
  <c r="H131" i="9" s="1"/>
  <c r="F143" i="9"/>
  <c r="G143" i="9" s="1"/>
  <c r="H143" i="9" s="1"/>
  <c r="F155" i="9"/>
  <c r="G155" i="9" s="1"/>
  <c r="H155" i="9" s="1"/>
  <c r="F173" i="10"/>
  <c r="G173" i="10" s="1"/>
  <c r="H173" i="10" s="1"/>
  <c r="F176" i="9"/>
  <c r="G176" i="9" s="1"/>
  <c r="H176" i="9" s="1"/>
  <c r="F16" i="11"/>
  <c r="G16" i="11" s="1"/>
  <c r="H16" i="11" s="1"/>
  <c r="F60" i="10"/>
  <c r="G60" i="10" s="1"/>
  <c r="H60" i="10" s="1"/>
  <c r="F206" i="11"/>
  <c r="G206" i="11" s="1"/>
  <c r="H206" i="11" s="1"/>
  <c r="F215" i="10"/>
  <c r="G215" i="10" s="1"/>
  <c r="H215" i="10" s="1"/>
  <c r="F60" i="11"/>
  <c r="G60" i="11" s="1"/>
  <c r="H60" i="11" s="1"/>
  <c r="F176" i="12"/>
  <c r="G176" i="12" s="1"/>
  <c r="H176" i="12" s="1"/>
  <c r="F158" i="11"/>
  <c r="G158" i="11" s="1"/>
  <c r="H158" i="11" s="1"/>
  <c r="F230" i="11"/>
  <c r="G230" i="11" s="1"/>
  <c r="H230" i="11" s="1"/>
  <c r="F65" i="12"/>
  <c r="G65" i="12" s="1"/>
  <c r="H65" i="12" s="1"/>
  <c r="F9" i="10"/>
  <c r="G9" i="10" s="1"/>
  <c r="H9" i="10" s="1"/>
  <c r="F9" i="9"/>
  <c r="G9" i="9" s="1"/>
  <c r="H9" i="9" s="1"/>
  <c r="F206" i="10"/>
  <c r="G206" i="10" s="1"/>
  <c r="H206" i="10" s="1"/>
  <c r="F173" i="12"/>
  <c r="G173" i="12" s="1"/>
  <c r="H173" i="12" s="1"/>
  <c r="F242" i="12"/>
  <c r="G242" i="12" s="1"/>
  <c r="H242" i="12" s="1"/>
  <c r="F9" i="11"/>
  <c r="G9" i="11" s="1"/>
  <c r="H9" i="11" s="1"/>
  <c r="F132" i="11"/>
  <c r="G132" i="11" s="1"/>
  <c r="H132" i="11" s="1"/>
  <c r="F166" i="12"/>
  <c r="G166" i="12" s="1"/>
  <c r="H166" i="12" s="1"/>
  <c r="F17" i="11"/>
  <c r="G17" i="11" s="1"/>
  <c r="H17" i="11" s="1"/>
  <c r="F17" i="10"/>
  <c r="G17" i="10" s="1"/>
  <c r="H17" i="10" s="1"/>
  <c r="F57" i="10"/>
  <c r="G57" i="10" s="1"/>
  <c r="H57" i="10" s="1"/>
  <c r="F16" i="9"/>
  <c r="G16" i="9" s="1"/>
  <c r="H16" i="9" s="1"/>
  <c r="F199" i="11"/>
  <c r="G199" i="11" s="1"/>
  <c r="H199" i="11" s="1"/>
  <c r="F206" i="9"/>
  <c r="G206" i="9" s="1"/>
  <c r="H206" i="9" s="1"/>
  <c r="F102" i="10"/>
  <c r="G102" i="10" s="1"/>
  <c r="H102" i="10" s="1"/>
  <c r="F212" i="11"/>
  <c r="G212" i="11" s="1"/>
  <c r="H212" i="11" s="1"/>
  <c r="F176" i="11"/>
  <c r="G176" i="11" s="1"/>
  <c r="H176" i="11" s="1"/>
  <c r="F135" i="11"/>
  <c r="G135" i="11" s="1"/>
  <c r="H135" i="11" s="1"/>
  <c r="F243" i="12"/>
  <c r="G243" i="12" s="1"/>
  <c r="H243" i="12" s="1"/>
  <c r="F102" i="12"/>
  <c r="G102" i="12" s="1"/>
  <c r="H102" i="12" s="1"/>
  <c r="F132" i="9"/>
  <c r="G132" i="9" s="1"/>
  <c r="H132" i="9" s="1"/>
  <c r="F62" i="9"/>
  <c r="G62" i="9" s="1"/>
  <c r="H62" i="9" s="1"/>
  <c r="F53" i="11"/>
  <c r="G53" i="11" s="1"/>
  <c r="H53" i="11" s="1"/>
  <c r="F212" i="9"/>
  <c r="G212" i="9" s="1"/>
  <c r="H212" i="9" s="1"/>
  <c r="F24" i="9"/>
  <c r="G24" i="9" s="1"/>
  <c r="H24" i="9" s="1"/>
  <c r="F132" i="10"/>
  <c r="G132" i="10" s="1"/>
  <c r="H132" i="10" s="1"/>
  <c r="F204" i="11"/>
  <c r="G204" i="11" s="1"/>
  <c r="H204" i="11" s="1"/>
  <c r="F24" i="11"/>
  <c r="G24" i="11" s="1"/>
  <c r="H24" i="11" s="1"/>
  <c r="F156" i="10"/>
  <c r="G156" i="10" s="1"/>
  <c r="H156" i="10" s="1"/>
  <c r="F66" i="12"/>
  <c r="G66" i="12" s="1"/>
  <c r="H66" i="12" s="1"/>
  <c r="F53" i="12"/>
  <c r="G53" i="12" s="1"/>
  <c r="H53" i="12" s="1"/>
  <c r="F58" i="12"/>
  <c r="G58" i="12" s="1"/>
  <c r="H58" i="12" s="1"/>
  <c r="F50" i="9"/>
  <c r="G50" i="9" s="1"/>
  <c r="H50" i="9" s="1"/>
  <c r="F51" i="12"/>
  <c r="G51" i="12" s="1"/>
  <c r="H51" i="12" s="1"/>
  <c r="F143" i="10"/>
  <c r="G143" i="10" s="1"/>
  <c r="H143" i="10" s="1"/>
  <c r="F135" i="10"/>
  <c r="G135" i="10" s="1"/>
  <c r="H135" i="10" s="1"/>
  <c r="F243" i="11"/>
  <c r="G243" i="11" s="1"/>
  <c r="H243" i="11" s="1"/>
  <c r="F16" i="10"/>
  <c r="G16" i="10" s="1"/>
  <c r="H16" i="10" s="1"/>
  <c r="F199" i="12"/>
  <c r="G199" i="12" s="1"/>
  <c r="H199" i="12" s="1"/>
  <c r="F132" i="12"/>
  <c r="G132" i="12" s="1"/>
  <c r="H132" i="12" s="1"/>
  <c r="F57" i="12"/>
  <c r="G57" i="12" s="1"/>
  <c r="H57" i="12" s="1"/>
  <c r="F278" i="11"/>
  <c r="G278" i="11" s="1"/>
  <c r="H278" i="11" s="1"/>
  <c r="F65" i="9"/>
  <c r="G65" i="9" s="1"/>
  <c r="H65" i="9" s="1"/>
  <c r="F53" i="10"/>
  <c r="G53" i="10" s="1"/>
  <c r="H53" i="10" s="1"/>
  <c r="F66" i="9"/>
  <c r="G66" i="9" s="1"/>
  <c r="H66" i="9" s="1"/>
  <c r="F166" i="10"/>
  <c r="G166" i="10" s="1"/>
  <c r="H166" i="10" s="1"/>
  <c r="F158" i="10"/>
  <c r="G158" i="10" s="1"/>
  <c r="H158" i="10" s="1"/>
  <c r="F88" i="9"/>
  <c r="G88" i="9" s="1"/>
  <c r="H88" i="9" s="1"/>
  <c r="F30" i="12"/>
  <c r="G30" i="12" s="1"/>
  <c r="H30" i="12" s="1"/>
  <c r="F215" i="12"/>
  <c r="G215" i="12" s="1"/>
  <c r="H215" i="12" s="1"/>
  <c r="F88" i="11"/>
  <c r="G88" i="11" s="1"/>
  <c r="H88" i="11" s="1"/>
  <c r="F215" i="11"/>
  <c r="G215" i="11" s="1"/>
  <c r="H215" i="11" s="1"/>
  <c r="F135" i="12"/>
  <c r="G135" i="12" s="1"/>
  <c r="H135" i="12" s="1"/>
  <c r="F223" i="11"/>
  <c r="G223" i="11" s="1"/>
  <c r="H223" i="11" s="1"/>
  <c r="F62" i="12"/>
  <c r="G62" i="12" s="1"/>
  <c r="H62" i="12" s="1"/>
  <c r="F145" i="12"/>
  <c r="G145" i="12" s="1"/>
  <c r="H145" i="12" s="1"/>
  <c r="F58" i="9"/>
  <c r="G58" i="9" s="1"/>
  <c r="H58" i="9" s="1"/>
  <c r="F24" i="10"/>
  <c r="G24" i="10" s="1"/>
  <c r="H24" i="10" s="1"/>
  <c r="F156" i="12"/>
  <c r="G156" i="12" s="1"/>
  <c r="H156" i="12" s="1"/>
  <c r="F230" i="12"/>
  <c r="G230" i="12" s="1"/>
  <c r="H230" i="12" s="1"/>
  <c r="F88" i="10"/>
  <c r="G88" i="10" s="1"/>
  <c r="H88" i="10" s="1"/>
  <c r="F230" i="9"/>
  <c r="G230" i="9" s="1"/>
  <c r="H230" i="9" s="1"/>
  <c r="F65" i="10"/>
  <c r="G65" i="10" s="1"/>
  <c r="H65" i="10" s="1"/>
  <c r="F204" i="9"/>
  <c r="G204" i="9" s="1"/>
  <c r="H204" i="9" s="1"/>
  <c r="F278" i="12"/>
  <c r="G278" i="12" s="1"/>
  <c r="H278" i="12" s="1"/>
  <c r="F155" i="12"/>
  <c r="G155" i="12" s="1"/>
  <c r="H155" i="12" s="1"/>
  <c r="F270" i="12"/>
  <c r="G270" i="12" s="1"/>
  <c r="H270" i="12" s="1"/>
  <c r="F242" i="9"/>
  <c r="G242" i="9" s="1"/>
  <c r="H242" i="9" s="1"/>
  <c r="F57" i="11"/>
  <c r="G57" i="11" s="1"/>
  <c r="H57" i="11" s="1"/>
  <c r="F51" i="9"/>
  <c r="G51" i="9" s="1"/>
  <c r="H51" i="9" s="1"/>
  <c r="F57" i="9"/>
  <c r="G57" i="9" s="1"/>
  <c r="H57" i="9" s="1"/>
  <c r="F60" i="9"/>
  <c r="G60" i="9" s="1"/>
  <c r="H60" i="9" s="1"/>
  <c r="F270" i="11"/>
  <c r="G270" i="11" s="1"/>
  <c r="H270" i="11" s="1"/>
  <c r="F206" i="12"/>
  <c r="G206" i="12" s="1"/>
  <c r="H206" i="12" s="1"/>
  <c r="F67" i="9"/>
  <c r="G67" i="9" s="1"/>
  <c r="H67" i="9" s="1"/>
  <c r="F156" i="11"/>
  <c r="G156" i="11" s="1"/>
  <c r="H156" i="11" s="1"/>
  <c r="F158" i="9"/>
  <c r="G158" i="9" s="1"/>
  <c r="H158" i="9" s="1"/>
  <c r="F67" i="12"/>
  <c r="G67" i="12" s="1"/>
  <c r="H67" i="12" s="1"/>
  <c r="F131" i="12"/>
  <c r="G131" i="12" s="1"/>
  <c r="H131" i="12" s="1"/>
  <c r="F53" i="9"/>
  <c r="G53" i="9" s="1"/>
  <c r="H53" i="9" s="1"/>
  <c r="F143" i="12"/>
  <c r="G143" i="12" s="1"/>
  <c r="H143" i="12" s="1"/>
  <c r="F156" i="9"/>
  <c r="G156" i="9" s="1"/>
  <c r="H156" i="9" s="1"/>
  <c r="F242" i="11"/>
  <c r="G242" i="11" s="1"/>
  <c r="H242" i="11" s="1"/>
  <c r="F158" i="12"/>
  <c r="G158" i="12" s="1"/>
  <c r="H158" i="12" s="1"/>
  <c r="F30" i="9"/>
  <c r="G30" i="9" s="1"/>
  <c r="H30" i="9" s="1"/>
  <c r="F143" i="11"/>
  <c r="G143" i="11" s="1"/>
  <c r="H143" i="11" s="1"/>
  <c r="F65" i="11"/>
  <c r="G65" i="11" s="1"/>
  <c r="H65" i="11" s="1"/>
  <c r="F223" i="12"/>
  <c r="G223" i="12" s="1"/>
  <c r="H223" i="12" s="1"/>
  <c r="F131" i="11"/>
  <c r="G131" i="11" s="1"/>
  <c r="H131" i="11" s="1"/>
  <c r="F50" i="12"/>
  <c r="G50" i="12" s="1"/>
  <c r="H50" i="12" s="1"/>
  <c r="F166" i="9"/>
  <c r="G166" i="9" s="1"/>
  <c r="H166" i="9" s="1"/>
  <c r="F17" i="9"/>
  <c r="G17" i="9" s="1"/>
  <c r="H17" i="9" s="1"/>
  <c r="F155" i="11"/>
  <c r="G155" i="11" s="1"/>
  <c r="H155" i="11" s="1"/>
  <c r="F166" i="11"/>
  <c r="G166" i="11" s="1"/>
  <c r="H166" i="11" s="1"/>
  <c r="F261" i="12"/>
  <c r="G261" i="12" s="1"/>
  <c r="H261" i="12" s="1"/>
  <c r="F261" i="11"/>
  <c r="G261" i="11" s="1"/>
  <c r="H261" i="11" s="1"/>
  <c r="F216" i="12"/>
  <c r="G216" i="12" s="1"/>
  <c r="H216" i="12" s="1"/>
  <c r="F216" i="10"/>
  <c r="G216" i="10" s="1"/>
  <c r="H216" i="10" s="1"/>
  <c r="F216" i="11"/>
  <c r="G216" i="11" s="1"/>
  <c r="H216" i="11" s="1"/>
  <c r="F216" i="9"/>
  <c r="G216" i="9" s="1"/>
  <c r="H216" i="9" s="1"/>
  <c r="F105" i="11"/>
  <c r="G105" i="11" s="1"/>
  <c r="H105" i="11" s="1"/>
  <c r="F105" i="9"/>
  <c r="G105" i="9" s="1"/>
  <c r="H105" i="9" s="1"/>
  <c r="F105" i="12"/>
  <c r="G105" i="12" s="1"/>
  <c r="H105" i="12" s="1"/>
  <c r="F105" i="10"/>
  <c r="G105" i="10" s="1"/>
  <c r="H105" i="10" s="1"/>
  <c r="F118" i="9"/>
  <c r="G118" i="9" s="1"/>
  <c r="H118" i="9" s="1"/>
  <c r="F118" i="11"/>
  <c r="G118" i="11" s="1"/>
  <c r="H118" i="11" s="1"/>
  <c r="F118" i="10"/>
  <c r="G118" i="10" s="1"/>
  <c r="H118" i="10" s="1"/>
  <c r="F118" i="12"/>
  <c r="G118" i="12" s="1"/>
  <c r="H118" i="12" s="1"/>
  <c r="F233" i="12"/>
  <c r="G233" i="12" s="1"/>
  <c r="H233" i="12" s="1"/>
  <c r="F233" i="11"/>
  <c r="G233" i="11" s="1"/>
  <c r="H233" i="11" s="1"/>
  <c r="F233" i="9"/>
  <c r="G233" i="9" s="1"/>
  <c r="H233" i="9" s="1"/>
  <c r="F13" i="12"/>
  <c r="G13" i="12" s="1"/>
  <c r="H13" i="12" s="1"/>
  <c r="F171" i="10"/>
  <c r="G171" i="10" s="1"/>
  <c r="H171" i="10" s="1"/>
  <c r="F171" i="9"/>
  <c r="G171" i="9" s="1"/>
  <c r="H171" i="9" s="1"/>
  <c r="F13" i="9"/>
  <c r="G13" i="9" s="1"/>
  <c r="H13" i="9" s="1"/>
  <c r="F13" i="11"/>
  <c r="G13" i="11" s="1"/>
  <c r="H13" i="11" s="1"/>
  <c r="F171" i="11"/>
  <c r="G171" i="11" s="1"/>
  <c r="H171" i="11" s="1"/>
  <c r="F171" i="12"/>
  <c r="G171" i="12" s="1"/>
  <c r="H171" i="12" s="1"/>
  <c r="F13" i="10"/>
  <c r="G13" i="10" s="1"/>
  <c r="H13" i="10" s="1"/>
  <c r="F191" i="9"/>
  <c r="G191" i="9" s="1"/>
  <c r="H191" i="9" s="1"/>
  <c r="F191" i="12"/>
  <c r="G191" i="12" s="1"/>
  <c r="H191" i="12" s="1"/>
  <c r="F191" i="10"/>
  <c r="G191" i="10" s="1"/>
  <c r="H191" i="10" s="1"/>
  <c r="F191" i="11"/>
  <c r="G191" i="11" s="1"/>
  <c r="H191" i="11" s="1"/>
  <c r="F19" i="11"/>
  <c r="G19" i="11" s="1"/>
  <c r="H19" i="11" s="1"/>
  <c r="F19" i="10"/>
  <c r="G19" i="10" s="1"/>
  <c r="H19" i="10" s="1"/>
  <c r="F19" i="12"/>
  <c r="G19" i="12" s="1"/>
  <c r="H19" i="12" s="1"/>
  <c r="F19" i="9"/>
  <c r="G19" i="9" s="1"/>
  <c r="H19" i="9" s="1"/>
  <c r="F237" i="11"/>
  <c r="G237" i="11" s="1"/>
  <c r="H237" i="11" s="1"/>
  <c r="F237" i="12"/>
  <c r="G237" i="12" s="1"/>
  <c r="H237" i="12" s="1"/>
  <c r="F237" i="9"/>
  <c r="G237" i="9" s="1"/>
  <c r="H237" i="9" s="1"/>
  <c r="F55" i="11"/>
  <c r="G55" i="11" s="1"/>
  <c r="H55" i="11" s="1"/>
  <c r="F55" i="10"/>
  <c r="G55" i="10" s="1"/>
  <c r="H55" i="10" s="1"/>
  <c r="F55" i="9"/>
  <c r="G55" i="9" s="1"/>
  <c r="H55" i="9" s="1"/>
  <c r="F55" i="12"/>
  <c r="G55" i="12" s="1"/>
  <c r="H55" i="12" s="1"/>
  <c r="F26" i="11"/>
  <c r="G26" i="11" s="1"/>
  <c r="H26" i="11" s="1"/>
  <c r="F26" i="10"/>
  <c r="G26" i="10" s="1"/>
  <c r="H26" i="10" s="1"/>
  <c r="F26" i="9"/>
  <c r="G26" i="9" s="1"/>
  <c r="H26" i="9" s="1"/>
  <c r="F26" i="12"/>
  <c r="G26" i="12" s="1"/>
  <c r="H26" i="12" s="1"/>
  <c r="F302" i="1"/>
  <c r="G302" i="1" s="1"/>
  <c r="H302" i="1" s="1"/>
  <c r="F238" i="12"/>
  <c r="G238" i="12" s="1"/>
  <c r="H238" i="12" s="1"/>
  <c r="F238" i="11"/>
  <c r="G238" i="11" s="1"/>
  <c r="H238" i="11" s="1"/>
  <c r="F238" i="9"/>
  <c r="G238" i="9" s="1"/>
  <c r="H238" i="9" s="1"/>
  <c r="F299" i="1"/>
  <c r="G299" i="1" s="1"/>
  <c r="H299" i="1" s="1"/>
  <c r="F232" i="12"/>
  <c r="G232" i="12" s="1"/>
  <c r="H232" i="12" s="1"/>
  <c r="F232" i="11"/>
  <c r="G232" i="11" s="1"/>
  <c r="H232" i="11" s="1"/>
  <c r="F232" i="9"/>
  <c r="G232" i="9" s="1"/>
  <c r="H232" i="9" s="1"/>
  <c r="F11" i="11"/>
  <c r="G11" i="11" s="1"/>
  <c r="H11" i="11" s="1"/>
  <c r="F11" i="10"/>
  <c r="G11" i="10" s="1"/>
  <c r="H11" i="10" s="1"/>
  <c r="F11" i="9"/>
  <c r="G11" i="9" s="1"/>
  <c r="H11" i="9" s="1"/>
  <c r="F11" i="12"/>
  <c r="G11" i="12" s="1"/>
  <c r="H11" i="12" s="1"/>
  <c r="F122" i="10"/>
  <c r="G122" i="10" s="1"/>
  <c r="H122" i="10" s="1"/>
  <c r="F122" i="11"/>
  <c r="G122" i="11" s="1"/>
  <c r="H122" i="11" s="1"/>
  <c r="F122" i="12"/>
  <c r="G122" i="12" s="1"/>
  <c r="H122" i="12" s="1"/>
  <c r="F122" i="9"/>
  <c r="G122" i="9" s="1"/>
  <c r="H122" i="9" s="1"/>
  <c r="F123" i="10"/>
  <c r="G123" i="10" s="1"/>
  <c r="H123" i="10" s="1"/>
  <c r="F123" i="9"/>
  <c r="G123" i="9" s="1"/>
  <c r="H123" i="9" s="1"/>
  <c r="F123" i="12"/>
  <c r="G123" i="12" s="1"/>
  <c r="H123" i="12" s="1"/>
  <c r="F123" i="11"/>
  <c r="G123" i="11" s="1"/>
  <c r="H123" i="11" s="1"/>
  <c r="F39" i="11"/>
  <c r="G39" i="11" s="1"/>
  <c r="H39" i="11" s="1"/>
  <c r="F39" i="10"/>
  <c r="G39" i="10" s="1"/>
  <c r="H39" i="10" s="1"/>
  <c r="F39" i="9"/>
  <c r="G39" i="9" s="1"/>
  <c r="H39" i="9" s="1"/>
  <c r="F39" i="12"/>
  <c r="G39" i="12" s="1"/>
  <c r="H39" i="12" s="1"/>
  <c r="F8" i="12"/>
  <c r="G8" i="12" s="1"/>
  <c r="H8" i="12" s="1"/>
  <c r="F8" i="10"/>
  <c r="G8" i="10" s="1"/>
  <c r="H8" i="10" s="1"/>
  <c r="F49" i="12"/>
  <c r="G49" i="12" s="1"/>
  <c r="H49" i="12" s="1"/>
  <c r="F8" i="9"/>
  <c r="G8" i="9" s="1"/>
  <c r="H8" i="9" s="1"/>
  <c r="F49" i="9"/>
  <c r="G49" i="9" s="1"/>
  <c r="H49" i="9" s="1"/>
  <c r="F49" i="10"/>
  <c r="G49" i="10" s="1"/>
  <c r="H49" i="10" s="1"/>
  <c r="F8" i="11"/>
  <c r="G8" i="11" s="1"/>
  <c r="H8" i="11" s="1"/>
  <c r="F49" i="11"/>
  <c r="G49" i="11" s="1"/>
  <c r="H49" i="11" s="1"/>
  <c r="F31" i="11"/>
  <c r="G31" i="11" s="1"/>
  <c r="H31" i="11" s="1"/>
  <c r="F31" i="10"/>
  <c r="G31" i="10" s="1"/>
  <c r="H31" i="10" s="1"/>
  <c r="F31" i="12"/>
  <c r="G31" i="12" s="1"/>
  <c r="H31" i="12" s="1"/>
  <c r="F31" i="9"/>
  <c r="G31" i="9" s="1"/>
  <c r="H31" i="9" s="1"/>
  <c r="F34" i="11"/>
  <c r="G34" i="11" s="1"/>
  <c r="H34" i="11" s="1"/>
  <c r="F34" i="10"/>
  <c r="G34" i="10" s="1"/>
  <c r="H34" i="10" s="1"/>
  <c r="F119" i="9"/>
  <c r="G119" i="9" s="1"/>
  <c r="H119" i="9" s="1"/>
  <c r="F179" i="10"/>
  <c r="G179" i="10" s="1"/>
  <c r="H179" i="10" s="1"/>
  <c r="F179" i="9"/>
  <c r="G179" i="9" s="1"/>
  <c r="H179" i="9" s="1"/>
  <c r="F34" i="12"/>
  <c r="G34" i="12" s="1"/>
  <c r="H34" i="12" s="1"/>
  <c r="F34" i="9"/>
  <c r="G34" i="9" s="1"/>
  <c r="H34" i="9" s="1"/>
  <c r="F119" i="11"/>
  <c r="G119" i="11" s="1"/>
  <c r="H119" i="11" s="1"/>
  <c r="F119" i="10"/>
  <c r="G119" i="10" s="1"/>
  <c r="H119" i="10" s="1"/>
  <c r="F202" i="9"/>
  <c r="G202" i="9" s="1"/>
  <c r="H202" i="9" s="1"/>
  <c r="F179" i="12"/>
  <c r="G179" i="12" s="1"/>
  <c r="H179" i="12" s="1"/>
  <c r="F119" i="12"/>
  <c r="G119" i="12" s="1"/>
  <c r="H119" i="12" s="1"/>
  <c r="F202" i="11"/>
  <c r="G202" i="11" s="1"/>
  <c r="H202" i="11" s="1"/>
  <c r="F202" i="12"/>
  <c r="G202" i="12" s="1"/>
  <c r="H202" i="12" s="1"/>
  <c r="F202" i="10"/>
  <c r="G202" i="10" s="1"/>
  <c r="H202" i="10" s="1"/>
  <c r="F179" i="11"/>
  <c r="G179" i="11" s="1"/>
  <c r="H179" i="11" s="1"/>
  <c r="F148" i="12"/>
  <c r="G148" i="12" s="1"/>
  <c r="H148" i="12" s="1"/>
  <c r="F148" i="9"/>
  <c r="G148" i="9" s="1"/>
  <c r="H148" i="9" s="1"/>
  <c r="F148" i="11"/>
  <c r="G148" i="11" s="1"/>
  <c r="H148" i="11" s="1"/>
  <c r="F148" i="10"/>
  <c r="G148" i="10" s="1"/>
  <c r="H148" i="10" s="1"/>
  <c r="F111" i="12"/>
  <c r="G111" i="12" s="1"/>
  <c r="H111" i="12" s="1"/>
  <c r="F111" i="10"/>
  <c r="G111" i="10" s="1"/>
  <c r="H111" i="10" s="1"/>
  <c r="F111" i="11"/>
  <c r="G111" i="11" s="1"/>
  <c r="H111" i="11" s="1"/>
  <c r="F111" i="9"/>
  <c r="G111" i="9" s="1"/>
  <c r="H111" i="9" s="1"/>
  <c r="F188" i="12"/>
  <c r="G188" i="12" s="1"/>
  <c r="H188" i="12" s="1"/>
  <c r="F188" i="10"/>
  <c r="G188" i="10" s="1"/>
  <c r="H188" i="10" s="1"/>
  <c r="F188" i="9"/>
  <c r="G188" i="9" s="1"/>
  <c r="H188" i="9" s="1"/>
  <c r="F188" i="11"/>
  <c r="G188" i="11" s="1"/>
  <c r="H188" i="11" s="1"/>
  <c r="F77" i="9"/>
  <c r="G77" i="9" s="1"/>
  <c r="H77" i="9" s="1"/>
  <c r="F77" i="10"/>
  <c r="G77" i="10" s="1"/>
  <c r="H77" i="10" s="1"/>
  <c r="F77" i="11"/>
  <c r="G77" i="11" s="1"/>
  <c r="H77" i="11" s="1"/>
  <c r="F77" i="12"/>
  <c r="G77" i="12" s="1"/>
  <c r="H77" i="12" s="1"/>
  <c r="F110" i="10"/>
  <c r="G110" i="10" s="1"/>
  <c r="H110" i="10" s="1"/>
  <c r="F110" i="11"/>
  <c r="G110" i="11" s="1"/>
  <c r="H110" i="11" s="1"/>
  <c r="F110" i="12"/>
  <c r="G110" i="12" s="1"/>
  <c r="H110" i="12" s="1"/>
  <c r="F110" i="9"/>
  <c r="G110" i="9" s="1"/>
  <c r="H110" i="9" s="1"/>
  <c r="F3" i="11"/>
  <c r="G3" i="11" s="1"/>
  <c r="H3" i="11" s="1"/>
  <c r="F3" i="10"/>
  <c r="G3" i="10" s="1"/>
  <c r="H3" i="10" s="1"/>
  <c r="F3" i="12"/>
  <c r="G3" i="12" s="1"/>
  <c r="H3" i="12" s="1"/>
  <c r="F3" i="9"/>
  <c r="G3" i="9" s="1"/>
  <c r="H3" i="9" s="1"/>
  <c r="F128" i="10"/>
  <c r="G128" i="10" s="1"/>
  <c r="H128" i="10" s="1"/>
  <c r="F128" i="9"/>
  <c r="G128" i="9" s="1"/>
  <c r="H128" i="9" s="1"/>
  <c r="F142" i="12"/>
  <c r="G142" i="12" s="1"/>
  <c r="H142" i="12" s="1"/>
  <c r="F186" i="10"/>
  <c r="G186" i="10" s="1"/>
  <c r="H186" i="10" s="1"/>
  <c r="F142" i="11"/>
  <c r="G142" i="11" s="1"/>
  <c r="H142" i="11" s="1"/>
  <c r="F186" i="12"/>
  <c r="G186" i="12" s="1"/>
  <c r="H186" i="12" s="1"/>
  <c r="F142" i="10"/>
  <c r="G142" i="10" s="1"/>
  <c r="H142" i="10" s="1"/>
  <c r="F186" i="9"/>
  <c r="G186" i="9" s="1"/>
  <c r="H186" i="9" s="1"/>
  <c r="F128" i="12"/>
  <c r="G128" i="12" s="1"/>
  <c r="H128" i="12" s="1"/>
  <c r="F128" i="11"/>
  <c r="G128" i="11" s="1"/>
  <c r="H128" i="11" s="1"/>
  <c r="F186" i="11"/>
  <c r="G186" i="11" s="1"/>
  <c r="H186" i="11" s="1"/>
  <c r="F142" i="9"/>
  <c r="G142" i="9" s="1"/>
  <c r="H142" i="9" s="1"/>
  <c r="F127" i="9"/>
  <c r="G127" i="9" s="1"/>
  <c r="H127" i="9" s="1"/>
  <c r="F127" i="10"/>
  <c r="G127" i="10" s="1"/>
  <c r="H127" i="10" s="1"/>
  <c r="F127" i="12"/>
  <c r="G127" i="12" s="1"/>
  <c r="H127" i="12" s="1"/>
  <c r="F127" i="11"/>
  <c r="G127" i="11" s="1"/>
  <c r="H127" i="11" s="1"/>
  <c r="F169" i="12"/>
  <c r="G169" i="12" s="1"/>
  <c r="H169" i="12" s="1"/>
  <c r="F169" i="9"/>
  <c r="G169" i="9" s="1"/>
  <c r="H169" i="9" s="1"/>
  <c r="F169" i="10"/>
  <c r="G169" i="10" s="1"/>
  <c r="H169" i="10" s="1"/>
  <c r="F169" i="11"/>
  <c r="G169" i="11" s="1"/>
  <c r="H169" i="11" s="1"/>
  <c r="F82" i="11"/>
  <c r="G82" i="11" s="1"/>
  <c r="H82" i="11" s="1"/>
  <c r="F82" i="10"/>
  <c r="G82" i="10" s="1"/>
  <c r="H82" i="10" s="1"/>
  <c r="F82" i="12"/>
  <c r="G82" i="12" s="1"/>
  <c r="H82" i="12" s="1"/>
  <c r="F82" i="9"/>
  <c r="G82" i="9" s="1"/>
  <c r="H82" i="9" s="1"/>
  <c r="F269" i="11"/>
  <c r="G269" i="11" s="1"/>
  <c r="H269" i="11" s="1"/>
  <c r="F269" i="12"/>
  <c r="G269" i="12" s="1"/>
  <c r="H269" i="12" s="1"/>
  <c r="F273" i="2"/>
  <c r="G273" i="2" s="1"/>
  <c r="H273" i="2" s="1"/>
  <c r="F95" i="12"/>
  <c r="G95" i="12" s="1"/>
  <c r="H95" i="12" s="1"/>
  <c r="F273" i="11"/>
  <c r="G273" i="11" s="1"/>
  <c r="H273" i="11" s="1"/>
  <c r="F95" i="11"/>
  <c r="G95" i="11" s="1"/>
  <c r="H95" i="11" s="1"/>
  <c r="F273" i="12"/>
  <c r="G273" i="12" s="1"/>
  <c r="H273" i="12" s="1"/>
  <c r="F95" i="10"/>
  <c r="G95" i="10" s="1"/>
  <c r="H95" i="10" s="1"/>
  <c r="F95" i="9"/>
  <c r="G95" i="9" s="1"/>
  <c r="H95" i="9" s="1"/>
  <c r="F195" i="9"/>
  <c r="G195" i="9" s="1"/>
  <c r="H195" i="9" s="1"/>
  <c r="F195" i="10"/>
  <c r="G195" i="10" s="1"/>
  <c r="H195" i="10" s="1"/>
  <c r="F195" i="11"/>
  <c r="G195" i="11" s="1"/>
  <c r="H195" i="11" s="1"/>
  <c r="F195" i="12"/>
  <c r="G195" i="12" s="1"/>
  <c r="H195" i="12" s="1"/>
  <c r="F113" i="10"/>
  <c r="G113" i="10" s="1"/>
  <c r="H113" i="10" s="1"/>
  <c r="F113" i="9"/>
  <c r="G113" i="9" s="1"/>
  <c r="H113" i="9" s="1"/>
  <c r="F113" i="11"/>
  <c r="G113" i="11" s="1"/>
  <c r="H113" i="11" s="1"/>
  <c r="F113" i="12"/>
  <c r="G113" i="12" s="1"/>
  <c r="H113" i="12" s="1"/>
  <c r="F157" i="11"/>
  <c r="G157" i="11" s="1"/>
  <c r="H157" i="11" s="1"/>
  <c r="F157" i="9"/>
  <c r="G157" i="9" s="1"/>
  <c r="H157" i="9" s="1"/>
  <c r="F177" i="11"/>
  <c r="G177" i="11" s="1"/>
  <c r="H177" i="11" s="1"/>
  <c r="F177" i="10"/>
  <c r="G177" i="10" s="1"/>
  <c r="H177" i="10" s="1"/>
  <c r="F177" i="9"/>
  <c r="G177" i="9" s="1"/>
  <c r="H177" i="9" s="1"/>
  <c r="F177" i="12"/>
  <c r="G177" i="12" s="1"/>
  <c r="H177" i="12" s="1"/>
  <c r="F157" i="12"/>
  <c r="G157" i="12" s="1"/>
  <c r="H157" i="12" s="1"/>
  <c r="F157" i="10"/>
  <c r="G157" i="10" s="1"/>
  <c r="H157" i="10" s="1"/>
  <c r="F149" i="12"/>
  <c r="G149" i="12" s="1"/>
  <c r="H149" i="12" s="1"/>
  <c r="F149" i="9"/>
  <c r="G149" i="9" s="1"/>
  <c r="H149" i="9" s="1"/>
  <c r="F149" i="11"/>
  <c r="G149" i="11" s="1"/>
  <c r="H149" i="11" s="1"/>
  <c r="F149" i="10"/>
  <c r="G149" i="10" s="1"/>
  <c r="H149" i="10" s="1"/>
  <c r="F146" i="12"/>
  <c r="G146" i="12" s="1"/>
  <c r="H146" i="12" s="1"/>
  <c r="F146" i="10"/>
  <c r="G146" i="10" s="1"/>
  <c r="H146" i="10" s="1"/>
  <c r="F146" i="11"/>
  <c r="G146" i="11" s="1"/>
  <c r="H146" i="11" s="1"/>
  <c r="F146" i="9"/>
  <c r="G146" i="9" s="1"/>
  <c r="H146" i="9" s="1"/>
  <c r="F4" i="12"/>
  <c r="G4" i="12" s="1"/>
  <c r="H4" i="12" s="1"/>
  <c r="F4" i="10"/>
  <c r="G4" i="10" s="1"/>
  <c r="H4" i="10" s="1"/>
  <c r="F4" i="11"/>
  <c r="G4" i="11" s="1"/>
  <c r="H4" i="11" s="1"/>
  <c r="F4" i="9"/>
  <c r="G4" i="9" s="1"/>
  <c r="H4" i="9" s="1"/>
  <c r="F52" i="12"/>
  <c r="G52" i="12" s="1"/>
  <c r="H52" i="12" s="1"/>
  <c r="F220" i="12"/>
  <c r="G220" i="12" s="1"/>
  <c r="H220" i="12" s="1"/>
  <c r="F76" i="12"/>
  <c r="G76" i="12" s="1"/>
  <c r="H76" i="12" s="1"/>
  <c r="F249" i="11"/>
  <c r="G249" i="11" s="1"/>
  <c r="H249" i="11" s="1"/>
  <c r="F97" i="11"/>
  <c r="G97" i="11" s="1"/>
  <c r="H97" i="11" s="1"/>
  <c r="F249" i="12"/>
  <c r="G249" i="12" s="1"/>
  <c r="H249" i="12" s="1"/>
  <c r="F224" i="12"/>
  <c r="G224" i="12" s="1"/>
  <c r="H224" i="12" s="1"/>
  <c r="F56" i="12"/>
  <c r="G56" i="12" s="1"/>
  <c r="H56" i="12" s="1"/>
  <c r="F277" i="11"/>
  <c r="G277" i="11" s="1"/>
  <c r="H277" i="11" s="1"/>
  <c r="F90" i="11"/>
  <c r="G90" i="11" s="1"/>
  <c r="H90" i="11" s="1"/>
  <c r="F112" i="12"/>
  <c r="G112" i="12" s="1"/>
  <c r="H112" i="12" s="1"/>
  <c r="F44" i="12"/>
  <c r="G44" i="12" s="1"/>
  <c r="H44" i="12" s="1"/>
  <c r="F90" i="10"/>
  <c r="G90" i="10" s="1"/>
  <c r="H90" i="10" s="1"/>
  <c r="F160" i="10"/>
  <c r="G160" i="10" s="1"/>
  <c r="H160" i="10" s="1"/>
  <c r="F7" i="11"/>
  <c r="G7" i="11" s="1"/>
  <c r="H7" i="11" s="1"/>
  <c r="F160" i="12"/>
  <c r="G160" i="12" s="1"/>
  <c r="H160" i="12" s="1"/>
  <c r="F7" i="10"/>
  <c r="G7" i="10" s="1"/>
  <c r="H7" i="10" s="1"/>
  <c r="F220" i="10"/>
  <c r="G220" i="10" s="1"/>
  <c r="H220" i="10" s="1"/>
  <c r="F97" i="10"/>
  <c r="G97" i="10" s="1"/>
  <c r="H97" i="10" s="1"/>
  <c r="F203" i="9"/>
  <c r="G203" i="9" s="1"/>
  <c r="H203" i="9" s="1"/>
  <c r="F112" i="10"/>
  <c r="G112" i="10" s="1"/>
  <c r="H112" i="10" s="1"/>
  <c r="F211" i="9"/>
  <c r="G211" i="9" s="1"/>
  <c r="H211" i="9" s="1"/>
  <c r="F277" i="12"/>
  <c r="G277" i="12" s="1"/>
  <c r="H277" i="12" s="1"/>
  <c r="F160" i="9"/>
  <c r="G160" i="9" s="1"/>
  <c r="H160" i="9" s="1"/>
  <c r="F90" i="9"/>
  <c r="G90" i="9" s="1"/>
  <c r="H90" i="9" s="1"/>
  <c r="F220" i="9"/>
  <c r="G220" i="9" s="1"/>
  <c r="H220" i="9" s="1"/>
  <c r="F7" i="12"/>
  <c r="G7" i="12" s="1"/>
  <c r="H7" i="12" s="1"/>
  <c r="F130" i="11"/>
  <c r="G130" i="11" s="1"/>
  <c r="H130" i="11" s="1"/>
  <c r="F211" i="11"/>
  <c r="G211" i="11" s="1"/>
  <c r="H211" i="11" s="1"/>
  <c r="F203" i="12"/>
  <c r="G203" i="12" s="1"/>
  <c r="H203" i="12" s="1"/>
  <c r="F76" i="10"/>
  <c r="G76" i="10" s="1"/>
  <c r="H76" i="10" s="1"/>
  <c r="F224" i="9"/>
  <c r="G224" i="9" s="1"/>
  <c r="H224" i="9" s="1"/>
  <c r="F126" i="10"/>
  <c r="G126" i="10" s="1"/>
  <c r="H126" i="10" s="1"/>
  <c r="F52" i="10"/>
  <c r="G52" i="10" s="1"/>
  <c r="H52" i="10" s="1"/>
  <c r="F90" i="12"/>
  <c r="G90" i="12" s="1"/>
  <c r="H90" i="12" s="1"/>
  <c r="F52" i="11"/>
  <c r="G52" i="11" s="1"/>
  <c r="H52" i="11" s="1"/>
  <c r="F203" i="11"/>
  <c r="G203" i="11" s="1"/>
  <c r="H203" i="11" s="1"/>
  <c r="F44" i="9"/>
  <c r="G44" i="9" s="1"/>
  <c r="H44" i="9" s="1"/>
  <c r="F76" i="11"/>
  <c r="G76" i="11" s="1"/>
  <c r="H76" i="11" s="1"/>
  <c r="F203" i="10"/>
  <c r="G203" i="10" s="1"/>
  <c r="H203" i="10" s="1"/>
  <c r="F130" i="10"/>
  <c r="G130" i="10" s="1"/>
  <c r="H130" i="10" s="1"/>
  <c r="F97" i="12"/>
  <c r="G97" i="12" s="1"/>
  <c r="H97" i="12" s="1"/>
  <c r="F52" i="9"/>
  <c r="G52" i="9" s="1"/>
  <c r="H52" i="9" s="1"/>
  <c r="F7" i="9"/>
  <c r="G7" i="9" s="1"/>
  <c r="H7" i="9" s="1"/>
  <c r="F97" i="9"/>
  <c r="G97" i="9" s="1"/>
  <c r="H97" i="9" s="1"/>
  <c r="F44" i="11"/>
  <c r="G44" i="11" s="1"/>
  <c r="H44" i="11" s="1"/>
  <c r="F56" i="11"/>
  <c r="G56" i="11" s="1"/>
  <c r="H56" i="11" s="1"/>
  <c r="F211" i="10"/>
  <c r="G211" i="10" s="1"/>
  <c r="H211" i="10" s="1"/>
  <c r="F211" i="12"/>
  <c r="G211" i="12" s="1"/>
  <c r="H211" i="12" s="1"/>
  <c r="F76" i="9"/>
  <c r="G76" i="9" s="1"/>
  <c r="H76" i="9" s="1"/>
  <c r="F112" i="9"/>
  <c r="G112" i="9" s="1"/>
  <c r="H112" i="9" s="1"/>
  <c r="F44" i="10"/>
  <c r="G44" i="10" s="1"/>
  <c r="H44" i="10" s="1"/>
  <c r="F112" i="11"/>
  <c r="G112" i="11" s="1"/>
  <c r="H112" i="11" s="1"/>
  <c r="F126" i="12"/>
  <c r="G126" i="12" s="1"/>
  <c r="H126" i="12" s="1"/>
  <c r="F56" i="10"/>
  <c r="G56" i="10" s="1"/>
  <c r="H56" i="10" s="1"/>
  <c r="F224" i="11"/>
  <c r="G224" i="11" s="1"/>
  <c r="H224" i="11" s="1"/>
  <c r="F126" i="11"/>
  <c r="G126" i="11" s="1"/>
  <c r="H126" i="11" s="1"/>
  <c r="F130" i="12"/>
  <c r="G130" i="12" s="1"/>
  <c r="H130" i="12" s="1"/>
  <c r="F160" i="11"/>
  <c r="G160" i="11" s="1"/>
  <c r="H160" i="11" s="1"/>
  <c r="F220" i="11"/>
  <c r="G220" i="11" s="1"/>
  <c r="H220" i="11" s="1"/>
  <c r="F126" i="9"/>
  <c r="G126" i="9" s="1"/>
  <c r="H126" i="9" s="1"/>
  <c r="F56" i="9"/>
  <c r="G56" i="9" s="1"/>
  <c r="H56" i="9" s="1"/>
  <c r="F130" i="9"/>
  <c r="G130" i="9" s="1"/>
  <c r="H130" i="9" s="1"/>
  <c r="F147" i="10"/>
  <c r="G147" i="10" s="1"/>
  <c r="H147" i="10" s="1"/>
  <c r="F147" i="9"/>
  <c r="G147" i="9" s="1"/>
  <c r="H147" i="9" s="1"/>
  <c r="F147" i="11"/>
  <c r="G147" i="11" s="1"/>
  <c r="H147" i="11" s="1"/>
  <c r="F147" i="12"/>
  <c r="G147" i="12" s="1"/>
  <c r="H147" i="12" s="1"/>
  <c r="F162" i="10"/>
  <c r="G162" i="10" s="1"/>
  <c r="H162" i="10" s="1"/>
  <c r="F162" i="11"/>
  <c r="G162" i="11" s="1"/>
  <c r="H162" i="11" s="1"/>
  <c r="F162" i="9"/>
  <c r="G162" i="9" s="1"/>
  <c r="H162" i="9" s="1"/>
  <c r="F162" i="12"/>
  <c r="G162" i="12" s="1"/>
  <c r="H162" i="12" s="1"/>
  <c r="F35" i="11"/>
  <c r="G35" i="11" s="1"/>
  <c r="H35" i="11" s="1"/>
  <c r="F35" i="10"/>
  <c r="G35" i="10" s="1"/>
  <c r="H35" i="10" s="1"/>
  <c r="F35" i="9"/>
  <c r="G35" i="9" s="1"/>
  <c r="H35" i="9" s="1"/>
  <c r="F35" i="12"/>
  <c r="G35" i="12" s="1"/>
  <c r="H35" i="12" s="1"/>
  <c r="F20" i="12"/>
  <c r="G20" i="12" s="1"/>
  <c r="H20" i="12" s="1"/>
  <c r="F20" i="9"/>
  <c r="G20" i="9" s="1"/>
  <c r="H20" i="9" s="1"/>
  <c r="F20" i="10"/>
  <c r="G20" i="10" s="1"/>
  <c r="H20" i="10" s="1"/>
  <c r="F20" i="11"/>
  <c r="G20" i="11" s="1"/>
  <c r="H20" i="11" s="1"/>
  <c r="F254" i="11"/>
  <c r="G254" i="11" s="1"/>
  <c r="H254" i="11" s="1"/>
  <c r="F254" i="12"/>
  <c r="G254" i="12" s="1"/>
  <c r="H254" i="12" s="1"/>
  <c r="F291" i="1"/>
  <c r="G291" i="1" s="1"/>
  <c r="H291" i="1" s="1"/>
  <c r="F208" i="12"/>
  <c r="G208" i="12" s="1"/>
  <c r="H208" i="12" s="1"/>
  <c r="F208" i="10"/>
  <c r="G208" i="10" s="1"/>
  <c r="H208" i="10" s="1"/>
  <c r="F208" i="9"/>
  <c r="G208" i="9" s="1"/>
  <c r="H208" i="9" s="1"/>
  <c r="F208" i="11"/>
  <c r="G208" i="11" s="1"/>
  <c r="H208" i="11" s="1"/>
  <c r="F103" i="12"/>
  <c r="G103" i="12" s="1"/>
  <c r="H103" i="12" s="1"/>
  <c r="F103" i="11"/>
  <c r="G103" i="11" s="1"/>
  <c r="H103" i="11" s="1"/>
  <c r="F103" i="9"/>
  <c r="G103" i="9" s="1"/>
  <c r="H103" i="9" s="1"/>
  <c r="F103" i="10"/>
  <c r="G103" i="10" s="1"/>
  <c r="H103" i="10" s="1"/>
  <c r="F69" i="12"/>
  <c r="G69" i="12" s="1"/>
  <c r="H69" i="12" s="1"/>
  <c r="F69" i="9"/>
  <c r="G69" i="9" s="1"/>
  <c r="H69" i="9" s="1"/>
  <c r="F69" i="10"/>
  <c r="G69" i="10" s="1"/>
  <c r="H69" i="10" s="1"/>
  <c r="F69" i="11"/>
  <c r="G69" i="11" s="1"/>
  <c r="H69" i="11" s="1"/>
  <c r="F92" i="12"/>
  <c r="G92" i="12" s="1"/>
  <c r="H92" i="12" s="1"/>
  <c r="F92" i="11"/>
  <c r="G92" i="11" s="1"/>
  <c r="H92" i="11" s="1"/>
  <c r="F92" i="10"/>
  <c r="G92" i="10" s="1"/>
  <c r="H92" i="10" s="1"/>
  <c r="F92" i="9"/>
  <c r="G92" i="9" s="1"/>
  <c r="H92" i="9" s="1"/>
  <c r="F260" i="12"/>
  <c r="G260" i="12" s="1"/>
  <c r="H260" i="12" s="1"/>
  <c r="F260" i="11"/>
  <c r="G260" i="11" s="1"/>
  <c r="H260" i="11" s="1"/>
  <c r="F42" i="11"/>
  <c r="G42" i="11" s="1"/>
  <c r="H42" i="11" s="1"/>
  <c r="F6" i="11"/>
  <c r="G6" i="11" s="1"/>
  <c r="H6" i="11" s="1"/>
  <c r="F42" i="10"/>
  <c r="G42" i="10" s="1"/>
  <c r="H42" i="10" s="1"/>
  <c r="F6" i="10"/>
  <c r="G6" i="10" s="1"/>
  <c r="H6" i="10" s="1"/>
  <c r="F42" i="12"/>
  <c r="G42" i="12" s="1"/>
  <c r="H42" i="12" s="1"/>
  <c r="F6" i="9"/>
  <c r="G6" i="9" s="1"/>
  <c r="H6" i="9" s="1"/>
  <c r="F42" i="9"/>
  <c r="G42" i="9" s="1"/>
  <c r="H42" i="9" s="1"/>
  <c r="F6" i="12"/>
  <c r="G6" i="12" s="1"/>
  <c r="H6" i="12" s="1"/>
  <c r="F258" i="11"/>
  <c r="G258" i="11" s="1"/>
  <c r="H258" i="11" s="1"/>
  <c r="F258" i="12"/>
  <c r="G258" i="12" s="1"/>
  <c r="H258" i="12" s="1"/>
  <c r="F164" i="12"/>
  <c r="G164" i="12" s="1"/>
  <c r="H164" i="12" s="1"/>
  <c r="F164" i="11"/>
  <c r="G164" i="11" s="1"/>
  <c r="H164" i="11" s="1"/>
  <c r="F164" i="9"/>
  <c r="G164" i="9" s="1"/>
  <c r="H164" i="9" s="1"/>
  <c r="F164" i="10"/>
  <c r="G164" i="10" s="1"/>
  <c r="H164" i="10" s="1"/>
  <c r="F281" i="12"/>
  <c r="G281" i="12" s="1"/>
  <c r="H281" i="12" s="1"/>
  <c r="F281" i="11"/>
  <c r="G281" i="11" s="1"/>
  <c r="H281" i="11" s="1"/>
  <c r="F125" i="12"/>
  <c r="G125" i="12" s="1"/>
  <c r="H125" i="12" s="1"/>
  <c r="F125" i="11"/>
  <c r="G125" i="11" s="1"/>
  <c r="H125" i="11" s="1"/>
  <c r="F125" i="9"/>
  <c r="G125" i="9" s="1"/>
  <c r="H125" i="9" s="1"/>
  <c r="F125" i="10"/>
  <c r="G125" i="10" s="1"/>
  <c r="H125" i="10" s="1"/>
  <c r="F300" i="1"/>
  <c r="G300" i="1" s="1"/>
  <c r="H300" i="1" s="1"/>
  <c r="F231" i="9"/>
  <c r="G231" i="9" s="1"/>
  <c r="H231" i="9" s="1"/>
  <c r="F231" i="12"/>
  <c r="G231" i="12" s="1"/>
  <c r="H231" i="12" s="1"/>
  <c r="F231" i="11"/>
  <c r="G231" i="11" s="1"/>
  <c r="H231" i="11" s="1"/>
  <c r="F80" i="12"/>
  <c r="G80" i="12" s="1"/>
  <c r="H80" i="12" s="1"/>
  <c r="F80" i="9"/>
  <c r="G80" i="9" s="1"/>
  <c r="H80" i="9" s="1"/>
  <c r="F80" i="10"/>
  <c r="G80" i="10" s="1"/>
  <c r="H80" i="10" s="1"/>
  <c r="F80" i="11"/>
  <c r="G80" i="11" s="1"/>
  <c r="H80" i="11" s="1"/>
  <c r="F218" i="10"/>
  <c r="G218" i="10" s="1"/>
  <c r="H218" i="10" s="1"/>
  <c r="F218" i="11"/>
  <c r="G218" i="11" s="1"/>
  <c r="H218" i="11" s="1"/>
  <c r="F218" i="12"/>
  <c r="G218" i="12" s="1"/>
  <c r="H218" i="12" s="1"/>
  <c r="F218" i="9"/>
  <c r="G218" i="9" s="1"/>
  <c r="H218" i="9" s="1"/>
  <c r="F12" i="12"/>
  <c r="G12" i="12" s="1"/>
  <c r="H12" i="12" s="1"/>
  <c r="F117" i="12"/>
  <c r="G117" i="12" s="1"/>
  <c r="H117" i="12" s="1"/>
  <c r="F15" i="11"/>
  <c r="G15" i="11" s="1"/>
  <c r="H15" i="11" s="1"/>
  <c r="F264" i="12"/>
  <c r="G264" i="12" s="1"/>
  <c r="H264" i="12" s="1"/>
  <c r="F15" i="10"/>
  <c r="G15" i="10" s="1"/>
  <c r="H15" i="10" s="1"/>
  <c r="F117" i="9"/>
  <c r="G117" i="9" s="1"/>
  <c r="H117" i="9" s="1"/>
  <c r="F117" i="11"/>
  <c r="G117" i="11" s="1"/>
  <c r="H117" i="11" s="1"/>
  <c r="F12" i="10"/>
  <c r="G12" i="10" s="1"/>
  <c r="H12" i="10" s="1"/>
  <c r="F12" i="11"/>
  <c r="G12" i="11" s="1"/>
  <c r="H12" i="11" s="1"/>
  <c r="F15" i="12"/>
  <c r="G15" i="12" s="1"/>
  <c r="H15" i="12" s="1"/>
  <c r="F117" i="10"/>
  <c r="G117" i="10" s="1"/>
  <c r="H117" i="10" s="1"/>
  <c r="F264" i="11"/>
  <c r="G264" i="11" s="1"/>
  <c r="H264" i="11" s="1"/>
  <c r="F12" i="9"/>
  <c r="G12" i="9" s="1"/>
  <c r="H12" i="9" s="1"/>
  <c r="F15" i="9"/>
  <c r="G15" i="9" s="1"/>
  <c r="H15" i="9" s="1"/>
  <c r="F89" i="9"/>
  <c r="G89" i="9" s="1"/>
  <c r="H89" i="9" s="1"/>
  <c r="F89" i="11"/>
  <c r="G89" i="11" s="1"/>
  <c r="H89" i="11" s="1"/>
  <c r="F89" i="10"/>
  <c r="G89" i="10" s="1"/>
  <c r="H89" i="10" s="1"/>
  <c r="F89" i="12"/>
  <c r="G89" i="12" s="1"/>
  <c r="H89" i="12" s="1"/>
  <c r="F37" i="10"/>
  <c r="G37" i="10" s="1"/>
  <c r="H37" i="10" s="1"/>
  <c r="F37" i="12"/>
  <c r="G37" i="12" s="1"/>
  <c r="H37" i="12" s="1"/>
  <c r="F37" i="11"/>
  <c r="G37" i="11" s="1"/>
  <c r="H37" i="11" s="1"/>
  <c r="F37" i="9"/>
  <c r="G37" i="9" s="1"/>
  <c r="H37" i="9" s="1"/>
  <c r="F185" i="11"/>
  <c r="G185" i="11" s="1"/>
  <c r="H185" i="11" s="1"/>
  <c r="F185" i="12"/>
  <c r="G185" i="12" s="1"/>
  <c r="H185" i="12" s="1"/>
  <c r="F185" i="10"/>
  <c r="G185" i="10" s="1"/>
  <c r="H185" i="10" s="1"/>
  <c r="F185" i="9"/>
  <c r="G185" i="9" s="1"/>
  <c r="H185" i="9" s="1"/>
  <c r="F248" i="12"/>
  <c r="G248" i="12" s="1"/>
  <c r="H248" i="12" s="1"/>
  <c r="F137" i="11"/>
  <c r="G137" i="11" s="1"/>
  <c r="H137" i="11" s="1"/>
  <c r="F137" i="12"/>
  <c r="G137" i="12" s="1"/>
  <c r="H137" i="12" s="1"/>
  <c r="F137" i="10"/>
  <c r="G137" i="10" s="1"/>
  <c r="H137" i="10" s="1"/>
  <c r="F137" i="9"/>
  <c r="G137" i="9" s="1"/>
  <c r="H137" i="9" s="1"/>
  <c r="F194" i="9"/>
  <c r="G194" i="9" s="1"/>
  <c r="H194" i="9" s="1"/>
  <c r="F194" i="10"/>
  <c r="G194" i="10" s="1"/>
  <c r="H194" i="10" s="1"/>
  <c r="F194" i="12"/>
  <c r="G194" i="12" s="1"/>
  <c r="H194" i="12" s="1"/>
  <c r="F248" i="11"/>
  <c r="G248" i="11" s="1"/>
  <c r="H248" i="11" s="1"/>
  <c r="F194" i="11"/>
  <c r="G194" i="11" s="1"/>
  <c r="H194" i="11" s="1"/>
  <c r="F18" i="10"/>
  <c r="G18" i="10" s="1"/>
  <c r="H18" i="10" s="1"/>
  <c r="F18" i="11"/>
  <c r="G18" i="11" s="1"/>
  <c r="H18" i="11" s="1"/>
  <c r="F18" i="9"/>
  <c r="G18" i="9" s="1"/>
  <c r="H18" i="9" s="1"/>
  <c r="F178" i="12"/>
  <c r="G178" i="12" s="1"/>
  <c r="H178" i="12" s="1"/>
  <c r="F18" i="12"/>
  <c r="G18" i="12" s="1"/>
  <c r="H18" i="12" s="1"/>
  <c r="F178" i="11"/>
  <c r="G178" i="11" s="1"/>
  <c r="H178" i="11" s="1"/>
  <c r="F178" i="10"/>
  <c r="G178" i="10" s="1"/>
  <c r="H178" i="10" s="1"/>
  <c r="F178" i="9"/>
  <c r="G178" i="9" s="1"/>
  <c r="H178" i="9" s="1"/>
  <c r="F305" i="1"/>
  <c r="G305" i="1" s="1"/>
  <c r="H305" i="1" s="1"/>
  <c r="F239" i="9"/>
  <c r="G239" i="9" s="1"/>
  <c r="H239" i="9" s="1"/>
  <c r="F239" i="12"/>
  <c r="G239" i="12" s="1"/>
  <c r="H239" i="12" s="1"/>
  <c r="F239" i="11"/>
  <c r="G239" i="11" s="1"/>
  <c r="H239" i="11" s="1"/>
  <c r="F257" i="12"/>
  <c r="G257" i="12" s="1"/>
  <c r="H257" i="12" s="1"/>
  <c r="F257" i="11"/>
  <c r="G257" i="11" s="1"/>
  <c r="H257" i="11" s="1"/>
  <c r="F144" i="11"/>
  <c r="G144" i="11" s="1"/>
  <c r="H144" i="11" s="1"/>
  <c r="F64" i="12"/>
  <c r="G64" i="12" s="1"/>
  <c r="H64" i="12" s="1"/>
  <c r="F86" i="11"/>
  <c r="G86" i="11" s="1"/>
  <c r="H86" i="11" s="1"/>
  <c r="F144" i="12"/>
  <c r="G144" i="12" s="1"/>
  <c r="H144" i="12" s="1"/>
  <c r="F86" i="9"/>
  <c r="G86" i="9" s="1"/>
  <c r="H86" i="9" s="1"/>
  <c r="F109" i="9"/>
  <c r="G109" i="9" s="1"/>
  <c r="H109" i="9" s="1"/>
  <c r="F144" i="10"/>
  <c r="G144" i="10" s="1"/>
  <c r="H144" i="10" s="1"/>
  <c r="F109" i="11"/>
  <c r="G109" i="11" s="1"/>
  <c r="H109" i="11" s="1"/>
  <c r="F86" i="10"/>
  <c r="G86" i="10" s="1"/>
  <c r="H86" i="10" s="1"/>
  <c r="F64" i="9"/>
  <c r="G64" i="9" s="1"/>
  <c r="H64" i="9" s="1"/>
  <c r="F86" i="12"/>
  <c r="G86" i="12" s="1"/>
  <c r="H86" i="12" s="1"/>
  <c r="F29" i="12"/>
  <c r="G29" i="12" s="1"/>
  <c r="H29" i="12" s="1"/>
  <c r="F29" i="11"/>
  <c r="G29" i="11" s="1"/>
  <c r="H29" i="11" s="1"/>
  <c r="F138" i="10"/>
  <c r="G138" i="10" s="1"/>
  <c r="H138" i="10" s="1"/>
  <c r="F109" i="10"/>
  <c r="G109" i="10" s="1"/>
  <c r="H109" i="10" s="1"/>
  <c r="F144" i="9"/>
  <c r="G144" i="9" s="1"/>
  <c r="H144" i="9" s="1"/>
  <c r="F29" i="9"/>
  <c r="G29" i="9" s="1"/>
  <c r="H29" i="9" s="1"/>
  <c r="F64" i="10"/>
  <c r="G64" i="10" s="1"/>
  <c r="H64" i="10" s="1"/>
  <c r="F138" i="11"/>
  <c r="G138" i="11" s="1"/>
  <c r="H138" i="11" s="1"/>
  <c r="F282" i="11"/>
  <c r="G282" i="11" s="1"/>
  <c r="H282" i="11" s="1"/>
  <c r="F138" i="9"/>
  <c r="G138" i="9" s="1"/>
  <c r="H138" i="9" s="1"/>
  <c r="F64" i="11"/>
  <c r="G64" i="11" s="1"/>
  <c r="H64" i="11" s="1"/>
  <c r="F282" i="12"/>
  <c r="G282" i="12" s="1"/>
  <c r="H282" i="12" s="1"/>
  <c r="F29" i="10"/>
  <c r="G29" i="10" s="1"/>
  <c r="H29" i="10" s="1"/>
  <c r="F138" i="12"/>
  <c r="G138" i="12" s="1"/>
  <c r="H138" i="12" s="1"/>
  <c r="F109" i="12"/>
  <c r="G109" i="12" s="1"/>
  <c r="H109" i="12" s="1"/>
  <c r="F272" i="2"/>
  <c r="G272" i="2" s="1"/>
  <c r="H272" i="2" s="1"/>
  <c r="F272" i="12"/>
  <c r="G272" i="12" s="1"/>
  <c r="H272" i="12" s="1"/>
  <c r="F272" i="11"/>
  <c r="G272" i="11" s="1"/>
  <c r="H272" i="11" s="1"/>
  <c r="F165" i="11"/>
  <c r="G165" i="11" s="1"/>
  <c r="H165" i="11" s="1"/>
  <c r="F165" i="9"/>
  <c r="G165" i="9" s="1"/>
  <c r="H165" i="9" s="1"/>
  <c r="F165" i="10"/>
  <c r="G165" i="10" s="1"/>
  <c r="H165" i="10" s="1"/>
  <c r="F165" i="12"/>
  <c r="G165" i="12" s="1"/>
  <c r="H165" i="12" s="1"/>
  <c r="F98" i="11"/>
  <c r="G98" i="11" s="1"/>
  <c r="H98" i="11" s="1"/>
  <c r="F98" i="10"/>
  <c r="G98" i="10" s="1"/>
  <c r="H98" i="10" s="1"/>
  <c r="F98" i="9"/>
  <c r="G98" i="9" s="1"/>
  <c r="H98" i="9" s="1"/>
  <c r="F98" i="12"/>
  <c r="G98" i="12" s="1"/>
  <c r="H98" i="12" s="1"/>
  <c r="F267" i="11"/>
  <c r="G267" i="11" s="1"/>
  <c r="H267" i="11" s="1"/>
  <c r="F267" i="12"/>
  <c r="G267" i="12" s="1"/>
  <c r="H267" i="12" s="1"/>
  <c r="F106" i="10"/>
  <c r="G106" i="10" s="1"/>
  <c r="H106" i="10" s="1"/>
  <c r="F106" i="12"/>
  <c r="G106" i="12" s="1"/>
  <c r="H106" i="12" s="1"/>
  <c r="F106" i="11"/>
  <c r="G106" i="11" s="1"/>
  <c r="H106" i="11" s="1"/>
  <c r="F106" i="9"/>
  <c r="G106" i="9" s="1"/>
  <c r="H106" i="9" s="1"/>
  <c r="F201" i="12"/>
  <c r="G201" i="12" s="1"/>
  <c r="H201" i="12" s="1"/>
  <c r="F221" i="10"/>
  <c r="G221" i="10" s="1"/>
  <c r="H221" i="10" s="1"/>
  <c r="F201" i="9"/>
  <c r="G201" i="9" s="1"/>
  <c r="H201" i="9" s="1"/>
  <c r="F201" i="11"/>
  <c r="G201" i="11" s="1"/>
  <c r="H201" i="11" s="1"/>
  <c r="F201" i="10"/>
  <c r="G201" i="10" s="1"/>
  <c r="H201" i="10" s="1"/>
  <c r="F101" i="10"/>
  <c r="G101" i="10" s="1"/>
  <c r="H101" i="10" s="1"/>
  <c r="F221" i="9"/>
  <c r="G221" i="9" s="1"/>
  <c r="H221" i="9" s="1"/>
  <c r="F221" i="12"/>
  <c r="G221" i="12" s="1"/>
  <c r="H221" i="12" s="1"/>
  <c r="F221" i="11"/>
  <c r="G221" i="11" s="1"/>
  <c r="H221" i="11" s="1"/>
  <c r="F101" i="11"/>
  <c r="G101" i="11" s="1"/>
  <c r="H101" i="11" s="1"/>
  <c r="F101" i="12"/>
  <c r="G101" i="12" s="1"/>
  <c r="H101" i="12" s="1"/>
  <c r="F101" i="9"/>
  <c r="G101" i="9" s="1"/>
  <c r="H101" i="9" s="1"/>
  <c r="F73" i="11"/>
  <c r="G73" i="11" s="1"/>
  <c r="H73" i="11" s="1"/>
  <c r="F73" i="12"/>
  <c r="G73" i="12" s="1"/>
  <c r="H73" i="12" s="1"/>
  <c r="F73" i="10"/>
  <c r="G73" i="10" s="1"/>
  <c r="H73" i="10" s="1"/>
  <c r="F73" i="9"/>
  <c r="G73" i="9" s="1"/>
  <c r="H73" i="9" s="1"/>
  <c r="F133" i="12"/>
  <c r="G133" i="12" s="1"/>
  <c r="H133" i="12" s="1"/>
  <c r="F133" i="9"/>
  <c r="G133" i="9" s="1"/>
  <c r="H133" i="9" s="1"/>
  <c r="F133" i="11"/>
  <c r="G133" i="11" s="1"/>
  <c r="H133" i="11" s="1"/>
  <c r="F133" i="10"/>
  <c r="G133" i="10" s="1"/>
  <c r="H133" i="10" s="1"/>
  <c r="F175" i="9"/>
  <c r="G175" i="9" s="1"/>
  <c r="H175" i="9" s="1"/>
  <c r="F175" i="12"/>
  <c r="G175" i="12" s="1"/>
  <c r="H175" i="12" s="1"/>
  <c r="F175" i="10"/>
  <c r="G175" i="10" s="1"/>
  <c r="H175" i="10" s="1"/>
  <c r="F175" i="11"/>
  <c r="G175" i="11" s="1"/>
  <c r="H175" i="11" s="1"/>
  <c r="F91" i="11"/>
  <c r="G91" i="11" s="1"/>
  <c r="H91" i="11" s="1"/>
  <c r="F91" i="12"/>
  <c r="G91" i="12" s="1"/>
  <c r="H91" i="12" s="1"/>
  <c r="F91" i="10"/>
  <c r="G91" i="10" s="1"/>
  <c r="H91" i="10" s="1"/>
  <c r="F91" i="9"/>
  <c r="G91" i="9" s="1"/>
  <c r="H91" i="9" s="1"/>
  <c r="F23" i="11"/>
  <c r="G23" i="11" s="1"/>
  <c r="H23" i="11" s="1"/>
  <c r="F23" i="10"/>
  <c r="G23" i="10" s="1"/>
  <c r="H23" i="10" s="1"/>
  <c r="F23" i="12"/>
  <c r="G23" i="12" s="1"/>
  <c r="H23" i="12" s="1"/>
  <c r="F23" i="9"/>
  <c r="G23" i="9" s="1"/>
  <c r="H23" i="9" s="1"/>
  <c r="F225" i="12"/>
  <c r="G225" i="12" s="1"/>
  <c r="H225" i="12" s="1"/>
  <c r="F225" i="11"/>
  <c r="G225" i="11" s="1"/>
  <c r="H225" i="11" s="1"/>
  <c r="F225" i="9"/>
  <c r="G225" i="9" s="1"/>
  <c r="H225" i="9" s="1"/>
  <c r="F124" i="11"/>
  <c r="G124" i="11" s="1"/>
  <c r="H124" i="11" s="1"/>
  <c r="F124" i="12"/>
  <c r="G124" i="12" s="1"/>
  <c r="H124" i="12" s="1"/>
  <c r="F124" i="9"/>
  <c r="G124" i="9" s="1"/>
  <c r="H124" i="9" s="1"/>
  <c r="F124" i="10"/>
  <c r="G124" i="10" s="1"/>
  <c r="H124" i="10" s="1"/>
  <c r="F296" i="1"/>
  <c r="G296" i="1" s="1"/>
  <c r="H296" i="1" s="1"/>
  <c r="F244" i="12"/>
  <c r="G244" i="12" s="1"/>
  <c r="H244" i="12" s="1"/>
  <c r="F244" i="9"/>
  <c r="G244" i="9" s="1"/>
  <c r="H244" i="9" s="1"/>
  <c r="F244" i="11"/>
  <c r="G244" i="11" s="1"/>
  <c r="H244" i="11" s="1"/>
  <c r="F33" i="9"/>
  <c r="G33" i="9" s="1"/>
  <c r="H33" i="9" s="1"/>
  <c r="F33" i="11"/>
  <c r="G33" i="11" s="1"/>
  <c r="H33" i="11" s="1"/>
  <c r="F33" i="10"/>
  <c r="G33" i="10" s="1"/>
  <c r="H33" i="10" s="1"/>
  <c r="F33" i="12"/>
  <c r="G33" i="12" s="1"/>
  <c r="H33" i="12" s="1"/>
  <c r="F71" i="11"/>
  <c r="G71" i="11" s="1"/>
  <c r="H71" i="11" s="1"/>
  <c r="F71" i="10"/>
  <c r="G71" i="10" s="1"/>
  <c r="H71" i="10" s="1"/>
  <c r="F71" i="12"/>
  <c r="G71" i="12" s="1"/>
  <c r="H71" i="12" s="1"/>
  <c r="F71" i="9"/>
  <c r="G71" i="9" s="1"/>
  <c r="H71" i="9" s="1"/>
  <c r="F180" i="10"/>
  <c r="G180" i="10" s="1"/>
  <c r="H180" i="10" s="1"/>
  <c r="F180" i="11"/>
  <c r="G180" i="11" s="1"/>
  <c r="H180" i="11" s="1"/>
  <c r="F180" i="12"/>
  <c r="G180" i="12" s="1"/>
  <c r="H180" i="12" s="1"/>
  <c r="F170" i="11"/>
  <c r="G170" i="11" s="1"/>
  <c r="H170" i="11" s="1"/>
  <c r="F180" i="9"/>
  <c r="G180" i="9" s="1"/>
  <c r="H180" i="9" s="1"/>
  <c r="F226" i="9"/>
  <c r="G226" i="9" s="1"/>
  <c r="H226" i="9" s="1"/>
  <c r="F170" i="10"/>
  <c r="G170" i="10" s="1"/>
  <c r="H170" i="10" s="1"/>
  <c r="F170" i="9"/>
  <c r="G170" i="9" s="1"/>
  <c r="H170" i="9" s="1"/>
  <c r="F226" i="11"/>
  <c r="G226" i="11" s="1"/>
  <c r="H226" i="11" s="1"/>
  <c r="F226" i="12"/>
  <c r="G226" i="12" s="1"/>
  <c r="H226" i="12" s="1"/>
  <c r="F170" i="12"/>
  <c r="G170" i="12" s="1"/>
  <c r="H170" i="12" s="1"/>
  <c r="F43" i="11"/>
  <c r="G43" i="11" s="1"/>
  <c r="H43" i="11" s="1"/>
  <c r="F43" i="10"/>
  <c r="G43" i="10" s="1"/>
  <c r="H43" i="10" s="1"/>
  <c r="F43" i="9"/>
  <c r="G43" i="9" s="1"/>
  <c r="H43" i="9" s="1"/>
  <c r="F43" i="12"/>
  <c r="G43" i="12" s="1"/>
  <c r="H43" i="12" s="1"/>
  <c r="F2" i="11"/>
  <c r="G2" i="11" s="1"/>
  <c r="F2" i="10"/>
  <c r="G2" i="10" s="1"/>
  <c r="F2" i="9"/>
  <c r="G2" i="9" s="1"/>
  <c r="F2" i="12"/>
  <c r="G2" i="12" s="1"/>
  <c r="F246" i="12"/>
  <c r="G246" i="12" s="1"/>
  <c r="H246" i="12" s="1"/>
  <c r="F246" i="11"/>
  <c r="G246" i="11" s="1"/>
  <c r="H246" i="11" s="1"/>
  <c r="F246" i="9"/>
  <c r="G246" i="9" s="1"/>
  <c r="H246" i="9" s="1"/>
  <c r="F21" i="12"/>
  <c r="G21" i="12" s="1"/>
  <c r="H21" i="12" s="1"/>
  <c r="F21" i="11"/>
  <c r="G21" i="11" s="1"/>
  <c r="H21" i="11" s="1"/>
  <c r="F21" i="9"/>
  <c r="G21" i="9" s="1"/>
  <c r="H21" i="9" s="1"/>
  <c r="F21" i="10"/>
  <c r="G21" i="10" s="1"/>
  <c r="H21" i="10" s="1"/>
  <c r="F192" i="12"/>
  <c r="G192" i="12" s="1"/>
  <c r="H192" i="12" s="1"/>
  <c r="F192" i="10"/>
  <c r="G192" i="10" s="1"/>
  <c r="H192" i="10" s="1"/>
  <c r="F192" i="9"/>
  <c r="G192" i="9" s="1"/>
  <c r="H192" i="9" s="1"/>
  <c r="F192" i="11"/>
  <c r="G192" i="11" s="1"/>
  <c r="H192" i="11" s="1"/>
  <c r="F83" i="12"/>
  <c r="G83" i="12" s="1"/>
  <c r="H83" i="12" s="1"/>
  <c r="F83" i="11"/>
  <c r="G83" i="11" s="1"/>
  <c r="H83" i="11" s="1"/>
  <c r="F83" i="10"/>
  <c r="G83" i="10" s="1"/>
  <c r="H83" i="10" s="1"/>
  <c r="F83" i="9"/>
  <c r="G83" i="9" s="1"/>
  <c r="H83" i="9" s="1"/>
  <c r="F22" i="1"/>
  <c r="G22" i="1" s="1"/>
  <c r="H22" i="1" s="1"/>
  <c r="F180" i="1"/>
  <c r="G180" i="1" s="1"/>
  <c r="H180" i="1" s="1"/>
  <c r="F38" i="2"/>
  <c r="G38" i="2" s="1"/>
  <c r="H38" i="2" s="1"/>
  <c r="F153" i="1"/>
  <c r="G153" i="1" s="1"/>
  <c r="H153" i="1" s="1"/>
  <c r="F29" i="1"/>
  <c r="G29" i="1" s="1"/>
  <c r="H29" i="1" s="1"/>
  <c r="F106" i="1"/>
  <c r="G106" i="1" s="1"/>
  <c r="H106" i="1" s="1"/>
  <c r="F255" i="1"/>
  <c r="G255" i="1" s="1"/>
  <c r="H255" i="1" s="1"/>
  <c r="F58" i="1"/>
  <c r="G58" i="1" s="1"/>
  <c r="H58" i="1" s="1"/>
  <c r="F177" i="1"/>
  <c r="G177" i="1" s="1"/>
  <c r="H177" i="1" s="1"/>
  <c r="F277" i="1"/>
  <c r="G277" i="1" s="1"/>
  <c r="H277" i="1" s="1"/>
  <c r="F78" i="1"/>
  <c r="G78" i="1" s="1"/>
  <c r="H78" i="1" s="1"/>
  <c r="F303" i="1"/>
  <c r="G303" i="1" s="1"/>
  <c r="H303" i="1" s="1"/>
  <c r="F306" i="1"/>
  <c r="G306" i="1" s="1"/>
  <c r="H306" i="1" s="1"/>
  <c r="F48" i="1"/>
  <c r="G48" i="1" s="1"/>
  <c r="H48" i="1" s="1"/>
  <c r="F39" i="2"/>
  <c r="G39" i="2" s="1"/>
  <c r="H39" i="2" s="1"/>
  <c r="F124" i="1"/>
  <c r="G124" i="1" s="1"/>
  <c r="H124" i="1" s="1"/>
  <c r="F267" i="2"/>
  <c r="G267" i="2" s="1"/>
  <c r="H267" i="2" s="1"/>
  <c r="F126" i="1"/>
  <c r="G126" i="1" s="1"/>
  <c r="H126" i="1" s="1"/>
  <c r="F269" i="2"/>
  <c r="G269" i="2" s="1"/>
  <c r="H269" i="2" s="1"/>
  <c r="F127" i="1"/>
  <c r="G127" i="1" s="1"/>
  <c r="H127" i="1" s="1"/>
  <c r="F166" i="1"/>
  <c r="G166" i="1" s="1"/>
  <c r="H166" i="1" s="1"/>
  <c r="F25" i="1"/>
  <c r="G25" i="1" s="1"/>
  <c r="H25" i="1" s="1"/>
  <c r="F298" i="1"/>
  <c r="G298" i="1" s="1"/>
  <c r="H298" i="1" s="1"/>
  <c r="F293" i="1"/>
  <c r="G293" i="1" s="1"/>
  <c r="H293" i="1" s="1"/>
  <c r="F135" i="2"/>
  <c r="G135" i="2" s="1"/>
  <c r="H135" i="2" s="1"/>
  <c r="F271" i="2"/>
  <c r="G271" i="2" s="1"/>
  <c r="H271" i="2" s="1"/>
  <c r="F244" i="1"/>
  <c r="G244" i="1" s="1"/>
  <c r="H244" i="1" s="1"/>
  <c r="F285" i="1"/>
  <c r="G285" i="1" s="1"/>
  <c r="H285" i="1" s="1"/>
  <c r="F247" i="1"/>
  <c r="G247" i="1" s="1"/>
  <c r="H247" i="1" s="1"/>
  <c r="F193" i="1"/>
  <c r="G193" i="1" s="1"/>
  <c r="H193" i="1" s="1"/>
  <c r="F268" i="2"/>
  <c r="G268" i="2" s="1"/>
  <c r="H268" i="2" s="1"/>
  <c r="F301" i="1"/>
  <c r="G301" i="1" s="1"/>
  <c r="H301" i="1" s="1"/>
  <c r="F270" i="2"/>
  <c r="G270" i="2" s="1"/>
  <c r="H270" i="2" s="1"/>
  <c r="F292" i="1"/>
  <c r="G292" i="1" s="1"/>
  <c r="H292" i="1" s="1"/>
  <c r="F222" i="1"/>
  <c r="G222" i="1" s="1"/>
  <c r="H222" i="1" s="1"/>
  <c r="F158" i="1"/>
  <c r="G158" i="1" s="1"/>
  <c r="H158" i="1" s="1"/>
  <c r="F175" i="1"/>
  <c r="G175" i="1" s="1"/>
  <c r="H175" i="1" s="1"/>
  <c r="F231" i="1"/>
  <c r="G231" i="1" s="1"/>
  <c r="H231" i="1" s="1"/>
  <c r="F120" i="1"/>
  <c r="G120" i="1" s="1"/>
  <c r="H120" i="1" s="1"/>
  <c r="F288" i="1"/>
  <c r="G288" i="1" s="1"/>
  <c r="H288" i="1" s="1"/>
  <c r="F123" i="1"/>
  <c r="G123" i="1" s="1"/>
  <c r="H123" i="1" s="1"/>
  <c r="F74" i="1"/>
  <c r="G74" i="1" s="1"/>
  <c r="H74" i="1" s="1"/>
  <c r="F131" i="1"/>
  <c r="G131" i="1" s="1"/>
  <c r="H131" i="1" s="1"/>
  <c r="F139" i="1"/>
  <c r="G139" i="1" s="1"/>
  <c r="H139" i="1" s="1"/>
  <c r="F215" i="1"/>
  <c r="G215" i="1" s="1"/>
  <c r="H215" i="1" s="1"/>
  <c r="F151" i="1"/>
  <c r="G151" i="1" s="1"/>
  <c r="H151" i="1" s="1"/>
  <c r="F121" i="1"/>
  <c r="G121" i="1" s="1"/>
  <c r="H121" i="1" s="1"/>
  <c r="F144" i="1"/>
  <c r="G144" i="1" s="1"/>
  <c r="H144" i="1" s="1"/>
  <c r="F241" i="1"/>
  <c r="G241" i="1" s="1"/>
  <c r="H241" i="1" s="1"/>
  <c r="F118" i="1"/>
  <c r="G118" i="1" s="1"/>
  <c r="H118" i="1" s="1"/>
  <c r="F122" i="1"/>
  <c r="G122" i="1" s="1"/>
  <c r="H122" i="1" s="1"/>
  <c r="F160" i="1"/>
  <c r="G160" i="1" s="1"/>
  <c r="H160" i="1" s="1"/>
  <c r="F214" i="1"/>
  <c r="G214" i="1" s="1"/>
  <c r="H214" i="1" s="1"/>
  <c r="F195" i="1"/>
  <c r="G195" i="1" s="1"/>
  <c r="H195" i="1" s="1"/>
  <c r="F204" i="1"/>
  <c r="G204" i="1" s="1"/>
  <c r="H204" i="1" s="1"/>
  <c r="F119" i="1"/>
  <c r="G119" i="1" s="1"/>
  <c r="H119" i="1" s="1"/>
  <c r="F52" i="1"/>
  <c r="G52" i="1" s="1"/>
  <c r="H52" i="1" s="1"/>
  <c r="F165" i="2"/>
  <c r="G165" i="2" s="1"/>
  <c r="H165" i="2" s="1"/>
  <c r="F246" i="1"/>
  <c r="G246" i="1" s="1"/>
  <c r="H246" i="1" s="1"/>
  <c r="F234" i="1"/>
  <c r="G234" i="1" s="1"/>
  <c r="H234" i="1" s="1"/>
  <c r="F201" i="1"/>
  <c r="G201" i="1" s="1"/>
  <c r="H201" i="1" s="1"/>
  <c r="F21" i="1"/>
  <c r="G21" i="1" s="1"/>
  <c r="H21" i="1" s="1"/>
  <c r="F132" i="1"/>
  <c r="G132" i="1" s="1"/>
  <c r="H132" i="1" s="1"/>
  <c r="F289" i="1"/>
  <c r="G289" i="1" s="1"/>
  <c r="H289" i="1" s="1"/>
  <c r="F254" i="1"/>
  <c r="G254" i="1" s="1"/>
  <c r="H254" i="1" s="1"/>
  <c r="F145" i="1"/>
  <c r="G145" i="1" s="1"/>
  <c r="H145" i="1" s="1"/>
  <c r="F19" i="2"/>
  <c r="G19" i="2" s="1"/>
  <c r="H19" i="2" s="1"/>
  <c r="F132" i="2"/>
  <c r="G132" i="2" s="1"/>
  <c r="H132" i="2" s="1"/>
  <c r="F149" i="1"/>
  <c r="G149" i="1" s="1"/>
  <c r="H149" i="1" s="1"/>
  <c r="F172" i="1"/>
  <c r="G172" i="1" s="1"/>
  <c r="H172" i="1" s="1"/>
  <c r="F176" i="1"/>
  <c r="G176" i="1" s="1"/>
  <c r="H176" i="1" s="1"/>
  <c r="F245" i="1"/>
  <c r="G245" i="1" s="1"/>
  <c r="H245" i="1" s="1"/>
  <c r="F181" i="2"/>
  <c r="G181" i="2" s="1"/>
  <c r="H181" i="2" s="1"/>
  <c r="F32" i="1"/>
  <c r="G32" i="1" s="1"/>
  <c r="H32" i="1" s="1"/>
  <c r="F152" i="1"/>
  <c r="G152" i="1" s="1"/>
  <c r="H152" i="1" s="1"/>
  <c r="F30" i="1"/>
  <c r="G30" i="1" s="1"/>
  <c r="H30" i="1" s="1"/>
  <c r="F14" i="2"/>
  <c r="G14" i="2" s="1"/>
  <c r="H14" i="2" s="1"/>
  <c r="F147" i="1"/>
  <c r="G147" i="1" s="1"/>
  <c r="H147" i="1" s="1"/>
  <c r="F186" i="1"/>
  <c r="G186" i="1" s="1"/>
  <c r="H186" i="1" s="1"/>
  <c r="F148" i="1"/>
  <c r="G148" i="1" s="1"/>
  <c r="H148" i="1" s="1"/>
  <c r="F202" i="1"/>
  <c r="G202" i="1" s="1"/>
  <c r="H202" i="1" s="1"/>
  <c r="F164" i="1"/>
  <c r="G164" i="1" s="1"/>
  <c r="H164" i="1" s="1"/>
  <c r="F3" i="1"/>
  <c r="G3" i="1" s="1"/>
  <c r="H3" i="1" s="1"/>
  <c r="F53" i="2"/>
  <c r="G53" i="2" s="1"/>
  <c r="H53" i="2" s="1"/>
  <c r="F91" i="1"/>
  <c r="G91" i="1" s="1"/>
  <c r="H91" i="1" s="1"/>
  <c r="F229" i="1"/>
  <c r="G229" i="1" s="1"/>
  <c r="H229" i="1" s="1"/>
  <c r="F270" i="1"/>
  <c r="G270" i="1" s="1"/>
  <c r="H270" i="1" s="1"/>
  <c r="F100" i="2"/>
  <c r="G100" i="2" s="1"/>
  <c r="H100" i="2" s="1"/>
  <c r="F213" i="1"/>
  <c r="G213" i="1" s="1"/>
  <c r="H213" i="1" s="1"/>
  <c r="F223" i="1"/>
  <c r="G223" i="1" s="1"/>
  <c r="H223" i="1" s="1"/>
  <c r="F70" i="2"/>
  <c r="G70" i="2" s="1"/>
  <c r="H70" i="2" s="1"/>
  <c r="F137" i="1"/>
  <c r="G137" i="1" s="1"/>
  <c r="H137" i="1" s="1"/>
  <c r="F90" i="1"/>
  <c r="G90" i="1" s="1"/>
  <c r="H90" i="1" s="1"/>
  <c r="F242" i="1"/>
  <c r="G242" i="1" s="1"/>
  <c r="H242" i="1" s="1"/>
  <c r="F92" i="1"/>
  <c r="G92" i="1" s="1"/>
  <c r="H92" i="1" s="1"/>
  <c r="F238" i="1"/>
  <c r="G238" i="1" s="1"/>
  <c r="H238" i="1" s="1"/>
  <c r="F261" i="1"/>
  <c r="G261" i="1" s="1"/>
  <c r="H261" i="1" s="1"/>
  <c r="F263" i="1"/>
  <c r="G263" i="1" s="1"/>
  <c r="H263" i="1" s="1"/>
  <c r="F185" i="1"/>
  <c r="G185" i="1" s="1"/>
  <c r="H185" i="1" s="1"/>
  <c r="F81" i="1"/>
  <c r="G81" i="1" s="1"/>
  <c r="H81" i="1" s="1"/>
  <c r="F230" i="1"/>
  <c r="G230" i="1" s="1"/>
  <c r="H230" i="1" s="1"/>
  <c r="F67" i="1"/>
  <c r="G67" i="1" s="1"/>
  <c r="H67" i="1" s="1"/>
  <c r="F197" i="1"/>
  <c r="G197" i="1" s="1"/>
  <c r="H197" i="1" s="1"/>
  <c r="F55" i="1"/>
  <c r="G55" i="1" s="1"/>
  <c r="H55" i="1" s="1"/>
  <c r="F169" i="1"/>
  <c r="G169" i="1" s="1"/>
  <c r="H169" i="1" s="1"/>
  <c r="F168" i="1"/>
  <c r="G168" i="1" s="1"/>
  <c r="H168" i="1" s="1"/>
  <c r="F228" i="1"/>
  <c r="G228" i="1" s="1"/>
  <c r="H228" i="1" s="1"/>
  <c r="F142" i="1"/>
  <c r="G142" i="1" s="1"/>
  <c r="H142" i="1" s="1"/>
  <c r="F268" i="1"/>
  <c r="G268" i="1" s="1"/>
  <c r="H268" i="1" s="1"/>
  <c r="F93" i="1"/>
  <c r="G93" i="1" s="1"/>
  <c r="H93" i="1" s="1"/>
  <c r="F249" i="1"/>
  <c r="G249" i="1" s="1"/>
  <c r="H249" i="1" s="1"/>
  <c r="F171" i="1"/>
  <c r="G171" i="1" s="1"/>
  <c r="H171" i="1" s="1"/>
  <c r="F284" i="1"/>
  <c r="G284" i="1" s="1"/>
  <c r="H284" i="1" s="1"/>
  <c r="F259" i="1"/>
  <c r="G259" i="1" s="1"/>
  <c r="H259" i="1" s="1"/>
  <c r="F267" i="1"/>
  <c r="G267" i="1" s="1"/>
  <c r="H267" i="1" s="1"/>
  <c r="F61" i="2"/>
  <c r="G61" i="2" s="1"/>
  <c r="H61" i="2" s="1"/>
  <c r="F219" i="1"/>
  <c r="G219" i="1" s="1"/>
  <c r="H219" i="1" s="1"/>
  <c r="F199" i="1"/>
  <c r="G199" i="1" s="1"/>
  <c r="H199" i="1" s="1"/>
  <c r="F265" i="1"/>
  <c r="G265" i="1" s="1"/>
  <c r="H265" i="1" s="1"/>
  <c r="F101" i="1"/>
  <c r="G101" i="1" s="1"/>
  <c r="H101" i="1" s="1"/>
  <c r="F252" i="1"/>
  <c r="G252" i="1" s="1"/>
  <c r="H252" i="1" s="1"/>
  <c r="F220" i="1"/>
  <c r="G220" i="1" s="1"/>
  <c r="H220" i="1" s="1"/>
  <c r="F159" i="1"/>
  <c r="G159" i="1" s="1"/>
  <c r="H159" i="1" s="1"/>
  <c r="F251" i="1"/>
  <c r="G251" i="1" s="1"/>
  <c r="H251" i="1" s="1"/>
  <c r="F155" i="1"/>
  <c r="G155" i="1" s="1"/>
  <c r="H155" i="1" s="1"/>
  <c r="F224" i="1"/>
  <c r="G224" i="1" s="1"/>
  <c r="H224" i="1" s="1"/>
  <c r="F211" i="1"/>
  <c r="G211" i="1" s="1"/>
  <c r="H211" i="1" s="1"/>
  <c r="F295" i="1"/>
  <c r="G295" i="1" s="1"/>
  <c r="H295" i="1" s="1"/>
  <c r="F51" i="2"/>
  <c r="G51" i="2" s="1"/>
  <c r="H51" i="2" s="1"/>
  <c r="F25" i="2"/>
  <c r="G25" i="2" s="1"/>
  <c r="H25" i="2" s="1"/>
  <c r="F45" i="1"/>
  <c r="G45" i="1" s="1"/>
  <c r="H45" i="1" s="1"/>
  <c r="F280" i="1"/>
  <c r="G280" i="1" s="1"/>
  <c r="H280" i="1" s="1"/>
  <c r="F154" i="1"/>
  <c r="G154" i="1" s="1"/>
  <c r="H154" i="1" s="1"/>
  <c r="F183" i="1"/>
  <c r="G183" i="1" s="1"/>
  <c r="H183" i="1" s="1"/>
  <c r="F203" i="1"/>
  <c r="G203" i="1" s="1"/>
  <c r="H203" i="1" s="1"/>
  <c r="F125" i="1"/>
  <c r="G125" i="1" s="1"/>
  <c r="H125" i="1" s="1"/>
  <c r="F216" i="1"/>
  <c r="G216" i="1" s="1"/>
  <c r="H216" i="1" s="1"/>
  <c r="F210" i="1"/>
  <c r="G210" i="1" s="1"/>
  <c r="H210" i="1" s="1"/>
  <c r="F106" i="2"/>
  <c r="G106" i="2" s="1"/>
  <c r="H106" i="2" s="1"/>
  <c r="F178" i="1"/>
  <c r="G178" i="1" s="1"/>
  <c r="H178" i="1" s="1"/>
  <c r="F240" i="1"/>
  <c r="G240" i="1" s="1"/>
  <c r="H240" i="1" s="1"/>
  <c r="F196" i="1"/>
  <c r="G196" i="1" s="1"/>
  <c r="H196" i="1" s="1"/>
  <c r="F133" i="1"/>
  <c r="G133" i="1" s="1"/>
  <c r="H133" i="1" s="1"/>
  <c r="F150" i="1"/>
  <c r="G150" i="1" s="1"/>
  <c r="H150" i="1" s="1"/>
  <c r="F141" i="1"/>
  <c r="G141" i="1" s="1"/>
  <c r="H141" i="1" s="1"/>
  <c r="F279" i="1"/>
  <c r="G279" i="1" s="1"/>
  <c r="H279" i="1" s="1"/>
  <c r="F236" i="1"/>
  <c r="G236" i="1" s="1"/>
  <c r="H236" i="1" s="1"/>
  <c r="F188" i="1"/>
  <c r="G188" i="1" s="1"/>
  <c r="H188" i="1" s="1"/>
  <c r="F187" i="1"/>
  <c r="G187" i="1" s="1"/>
  <c r="H187" i="1" s="1"/>
  <c r="F24" i="1"/>
  <c r="G24" i="1" s="1"/>
  <c r="H24" i="1" s="1"/>
  <c r="F256" i="1"/>
  <c r="G256" i="1" s="1"/>
  <c r="H256" i="1" s="1"/>
  <c r="F146" i="1"/>
  <c r="G146" i="1" s="1"/>
  <c r="H146" i="1" s="1"/>
  <c r="F274" i="1"/>
  <c r="G274" i="1" s="1"/>
  <c r="H274" i="1" s="1"/>
  <c r="F88" i="1"/>
  <c r="G88" i="1" s="1"/>
  <c r="H88" i="1" s="1"/>
  <c r="F237" i="1"/>
  <c r="G237" i="1" s="1"/>
  <c r="H237" i="1" s="1"/>
  <c r="F140" i="1"/>
  <c r="G140" i="1" s="1"/>
  <c r="H140" i="1" s="1"/>
  <c r="F262" i="1"/>
  <c r="G262" i="1" s="1"/>
  <c r="H262" i="1" s="1"/>
  <c r="F273" i="1"/>
  <c r="G273" i="1" s="1"/>
  <c r="H273" i="1" s="1"/>
  <c r="F162" i="1"/>
  <c r="G162" i="1" s="1"/>
  <c r="H162" i="1" s="1"/>
  <c r="F97" i="1"/>
  <c r="G97" i="1" s="1"/>
  <c r="H97" i="1" s="1"/>
  <c r="F250" i="1"/>
  <c r="G250" i="1" s="1"/>
  <c r="H250" i="1" s="1"/>
  <c r="F103" i="1"/>
  <c r="G103" i="1" s="1"/>
  <c r="H103" i="1" s="1"/>
  <c r="F257" i="1"/>
  <c r="G257" i="1" s="1"/>
  <c r="H257" i="1" s="1"/>
  <c r="F78" i="2"/>
  <c r="G78" i="2" s="1"/>
  <c r="H78" i="2" s="1"/>
  <c r="F21" i="2"/>
  <c r="G21" i="2" s="1"/>
  <c r="H21" i="2" s="1"/>
  <c r="F80" i="2"/>
  <c r="G80" i="2" s="1"/>
  <c r="H80" i="2" s="1"/>
  <c r="F276" i="1"/>
  <c r="G276" i="1" s="1"/>
  <c r="H276" i="1" s="1"/>
  <c r="F70" i="1"/>
  <c r="G70" i="1" s="1"/>
  <c r="H70" i="1" s="1"/>
  <c r="F271" i="1"/>
  <c r="G271" i="1" s="1"/>
  <c r="H271" i="1" s="1"/>
  <c r="F129" i="1"/>
  <c r="G129" i="1" s="1"/>
  <c r="H129" i="1" s="1"/>
  <c r="F157" i="1"/>
  <c r="G157" i="1" s="1"/>
  <c r="H157" i="1" s="1"/>
  <c r="F200" i="1"/>
  <c r="G200" i="1" s="1"/>
  <c r="H200" i="1" s="1"/>
  <c r="F283" i="1"/>
  <c r="G283" i="1" s="1"/>
  <c r="H283" i="1" s="1"/>
  <c r="F84" i="2"/>
  <c r="G84" i="2" s="1"/>
  <c r="H84" i="2" s="1"/>
  <c r="F170" i="1"/>
  <c r="G170" i="1" s="1"/>
  <c r="H170" i="1" s="1"/>
  <c r="F232" i="1"/>
  <c r="G232" i="1" s="1"/>
  <c r="H232" i="1" s="1"/>
  <c r="F264" i="1"/>
  <c r="G264" i="1" s="1"/>
  <c r="H264" i="1" s="1"/>
  <c r="F84" i="1"/>
  <c r="G84" i="1" s="1"/>
  <c r="H84" i="1" s="1"/>
  <c r="F233" i="1"/>
  <c r="G233" i="1" s="1"/>
  <c r="H233" i="1" s="1"/>
  <c r="F221" i="1"/>
  <c r="G221" i="1" s="1"/>
  <c r="H221" i="1" s="1"/>
  <c r="F191" i="1"/>
  <c r="G191" i="1" s="1"/>
  <c r="H191" i="1" s="1"/>
  <c r="F269" i="1"/>
  <c r="G269" i="1" s="1"/>
  <c r="H269" i="1" s="1"/>
  <c r="F69" i="1"/>
  <c r="G69" i="1" s="1"/>
  <c r="H69" i="1" s="1"/>
  <c r="F222" i="2"/>
  <c r="G222" i="2" s="1"/>
  <c r="H222" i="2" s="1"/>
  <c r="F68" i="2"/>
  <c r="G68" i="2" s="1"/>
  <c r="H68" i="2" s="1"/>
  <c r="F194" i="1"/>
  <c r="G194" i="1" s="1"/>
  <c r="H194" i="1" s="1"/>
  <c r="F272" i="1"/>
  <c r="G272" i="1" s="1"/>
  <c r="H272" i="1" s="1"/>
  <c r="F290" i="1"/>
  <c r="G290" i="1" s="1"/>
  <c r="H290" i="1" s="1"/>
  <c r="F248" i="1"/>
  <c r="G248" i="1" s="1"/>
  <c r="H248" i="1" s="1"/>
  <c r="F225" i="1"/>
  <c r="G225" i="1" s="1"/>
  <c r="H225" i="1" s="1"/>
  <c r="F134" i="1"/>
  <c r="G134" i="1" s="1"/>
  <c r="H134" i="1" s="1"/>
  <c r="F192" i="1"/>
  <c r="G192" i="1" s="1"/>
  <c r="H192" i="1" s="1"/>
  <c r="F136" i="1"/>
  <c r="G136" i="1" s="1"/>
  <c r="H136" i="1" s="1"/>
  <c r="F174" i="1"/>
  <c r="G174" i="1" s="1"/>
  <c r="H174" i="1" s="1"/>
  <c r="F212" i="1"/>
  <c r="G212" i="1" s="1"/>
  <c r="H212" i="1" s="1"/>
  <c r="F138" i="1"/>
  <c r="G138" i="1" s="1"/>
  <c r="H138" i="1" s="1"/>
  <c r="F287" i="1"/>
  <c r="G287" i="1" s="1"/>
  <c r="H287" i="1" s="1"/>
  <c r="F167" i="1"/>
  <c r="G167" i="1" s="1"/>
  <c r="H167" i="1" s="1"/>
  <c r="F128" i="1"/>
  <c r="G128" i="1" s="1"/>
  <c r="H128" i="1" s="1"/>
  <c r="F294" i="1"/>
  <c r="G294" i="1" s="1"/>
  <c r="H294" i="1" s="1"/>
  <c r="F143" i="1"/>
  <c r="G143" i="1" s="1"/>
  <c r="H143" i="1" s="1"/>
  <c r="F286" i="1"/>
  <c r="G286" i="1" s="1"/>
  <c r="H286" i="1" s="1"/>
  <c r="F184" i="1"/>
  <c r="G184" i="1" s="1"/>
  <c r="H184" i="1" s="1"/>
  <c r="F207" i="1"/>
  <c r="G207" i="1" s="1"/>
  <c r="H207" i="1" s="1"/>
  <c r="F208" i="2"/>
  <c r="G208" i="2" s="1"/>
  <c r="H208" i="2" s="1"/>
  <c r="F50" i="1"/>
  <c r="G50" i="1" s="1"/>
  <c r="H50" i="1" s="1"/>
  <c r="F165" i="1"/>
  <c r="G165" i="1" s="1"/>
  <c r="H165" i="1" s="1"/>
  <c r="F282" i="1"/>
  <c r="G282" i="1" s="1"/>
  <c r="H282" i="1" s="1"/>
  <c r="F258" i="1"/>
  <c r="G258" i="1" s="1"/>
  <c r="H258" i="1" s="1"/>
  <c r="F57" i="1"/>
  <c r="G57" i="1" s="1"/>
  <c r="H57" i="1" s="1"/>
  <c r="F253" i="1"/>
  <c r="G253" i="1" s="1"/>
  <c r="H253" i="1" s="1"/>
  <c r="F163" i="1"/>
  <c r="G163" i="1" s="1"/>
  <c r="H163" i="1" s="1"/>
  <c r="F161" i="1"/>
  <c r="G161" i="1" s="1"/>
  <c r="H161" i="1" s="1"/>
  <c r="F278" i="1"/>
  <c r="G278" i="1" s="1"/>
  <c r="H278" i="1" s="1"/>
  <c r="F79" i="1"/>
  <c r="G79" i="1" s="1"/>
  <c r="H79" i="1" s="1"/>
  <c r="F205" i="1"/>
  <c r="G205" i="1" s="1"/>
  <c r="H205" i="1" s="1"/>
  <c r="F5" i="2"/>
  <c r="G5" i="2" s="1"/>
  <c r="H5" i="2" s="1"/>
  <c r="F209" i="1"/>
  <c r="G209" i="1" s="1"/>
  <c r="H209" i="1" s="1"/>
  <c r="F2" i="2"/>
  <c r="G2" i="2" s="1"/>
  <c r="H2" i="2" s="1"/>
  <c r="F104" i="2"/>
  <c r="G104" i="2" s="1"/>
  <c r="H104" i="2" s="1"/>
  <c r="F226" i="1"/>
  <c r="G226" i="1" s="1"/>
  <c r="H226" i="1" s="1"/>
  <c r="F227" i="1"/>
  <c r="G227" i="1" s="1"/>
  <c r="H227" i="1" s="1"/>
  <c r="F179" i="1"/>
  <c r="G179" i="1" s="1"/>
  <c r="H179" i="1" s="1"/>
  <c r="F260" i="1"/>
  <c r="G260" i="1" s="1"/>
  <c r="H260" i="1" s="1"/>
  <c r="F190" i="1"/>
  <c r="G190" i="1" s="1"/>
  <c r="H190" i="1" s="1"/>
  <c r="F83" i="1"/>
  <c r="G83" i="1" s="1"/>
  <c r="H83" i="1" s="1"/>
  <c r="F239" i="1"/>
  <c r="G239" i="1" s="1"/>
  <c r="H239" i="1" s="1"/>
  <c r="F75" i="2"/>
  <c r="G75" i="2" s="1"/>
  <c r="H75" i="2" s="1"/>
  <c r="F130" i="1"/>
  <c r="G130" i="1" s="1"/>
  <c r="H130" i="1" s="1"/>
  <c r="F135" i="1"/>
  <c r="G135" i="1" s="1"/>
  <c r="H135" i="1" s="1"/>
  <c r="F266" i="1"/>
  <c r="G266" i="1" s="1"/>
  <c r="H266" i="1" s="1"/>
  <c r="F67" i="2"/>
  <c r="G67" i="2" s="1"/>
  <c r="H67" i="2" s="1"/>
  <c r="F206" i="1"/>
  <c r="G206" i="1" s="1"/>
  <c r="H206" i="1" s="1"/>
  <c r="F105" i="2"/>
  <c r="G105" i="2" s="1"/>
  <c r="H105" i="2" s="1"/>
  <c r="F181" i="1"/>
  <c r="G181" i="1" s="1"/>
  <c r="H181" i="1" s="1"/>
  <c r="F217" i="1"/>
  <c r="G217" i="1" s="1"/>
  <c r="H217" i="1" s="1"/>
  <c r="F198" i="1"/>
  <c r="G198" i="1" s="1"/>
  <c r="H198" i="1" s="1"/>
  <c r="F208" i="1"/>
  <c r="G208" i="1" s="1"/>
  <c r="H208" i="1" s="1"/>
  <c r="F243" i="1"/>
  <c r="G243" i="1" s="1"/>
  <c r="H243" i="1" s="1"/>
  <c r="F218" i="1"/>
  <c r="G218" i="1" s="1"/>
  <c r="H218" i="1" s="1"/>
  <c r="F182" i="1"/>
  <c r="G182" i="1" s="1"/>
  <c r="H182" i="1" s="1"/>
  <c r="F43" i="1"/>
  <c r="G43" i="1" s="1"/>
  <c r="H43" i="1" s="1"/>
  <c r="F30" i="2"/>
  <c r="G30" i="2" s="1"/>
  <c r="H30" i="2" s="1"/>
  <c r="F68" i="1"/>
  <c r="G68" i="1" s="1"/>
  <c r="H68" i="1" s="1"/>
  <c r="F18" i="1"/>
  <c r="G18" i="1" s="1"/>
  <c r="H18" i="1" s="1"/>
  <c r="F14" i="1"/>
  <c r="G14" i="1" s="1"/>
  <c r="H14" i="1" s="1"/>
  <c r="F91" i="2"/>
  <c r="G91" i="2" s="1"/>
  <c r="H91" i="2" s="1"/>
  <c r="F73" i="2"/>
  <c r="G73" i="2" s="1"/>
  <c r="H73" i="2" s="1"/>
  <c r="F87" i="2"/>
  <c r="G87" i="2" s="1"/>
  <c r="H87" i="2" s="1"/>
  <c r="F27" i="1"/>
  <c r="G27" i="1" s="1"/>
  <c r="H27" i="1" s="1"/>
  <c r="F27" i="2"/>
  <c r="G27" i="2" s="1"/>
  <c r="H27" i="2" s="1"/>
  <c r="F37" i="1"/>
  <c r="G37" i="1" s="1"/>
  <c r="H37" i="1" s="1"/>
  <c r="F46" i="1"/>
  <c r="G46" i="1" s="1"/>
  <c r="H46" i="1" s="1"/>
  <c r="F15" i="1"/>
  <c r="G15" i="1" s="1"/>
  <c r="H15" i="1" s="1"/>
  <c r="F4" i="1"/>
  <c r="G4" i="1" s="1"/>
  <c r="H4" i="1" s="1"/>
  <c r="F10" i="1"/>
  <c r="G10" i="1" s="1"/>
  <c r="H10" i="1" s="1"/>
  <c r="F94" i="1"/>
  <c r="G94" i="1" s="1"/>
  <c r="H94" i="1" s="1"/>
  <c r="F18" i="2"/>
  <c r="G18" i="2" s="1"/>
  <c r="H18" i="2" s="1"/>
  <c r="F16" i="1"/>
  <c r="G16" i="1" s="1"/>
  <c r="H16" i="1" s="1"/>
  <c r="F240" i="2"/>
  <c r="G240" i="2" s="1"/>
  <c r="H240" i="2" s="1"/>
  <c r="F182" i="2"/>
  <c r="G182" i="2" s="1"/>
  <c r="H182" i="2" s="1"/>
  <c r="F186" i="2"/>
  <c r="G186" i="2" s="1"/>
  <c r="H186" i="2" s="1"/>
  <c r="F197" i="2"/>
  <c r="G197" i="2" s="1"/>
  <c r="H197" i="2" s="1"/>
  <c r="F145" i="2"/>
  <c r="G145" i="2" s="1"/>
  <c r="H145" i="2" s="1"/>
  <c r="F206" i="2"/>
  <c r="G206" i="2" s="1"/>
  <c r="H206" i="2" s="1"/>
  <c r="F211" i="2"/>
  <c r="G211" i="2" s="1"/>
  <c r="H211" i="2" s="1"/>
  <c r="F230" i="2"/>
  <c r="G230" i="2" s="1"/>
  <c r="H230" i="2" s="1"/>
  <c r="F125" i="2"/>
  <c r="G125" i="2" s="1"/>
  <c r="H125" i="2" s="1"/>
  <c r="F169" i="2"/>
  <c r="G169" i="2" s="1"/>
  <c r="H169" i="2" s="1"/>
  <c r="F184" i="2"/>
  <c r="G184" i="2" s="1"/>
  <c r="H184" i="2" s="1"/>
  <c r="F202" i="2"/>
  <c r="G202" i="2" s="1"/>
  <c r="H202" i="2" s="1"/>
  <c r="F258" i="2"/>
  <c r="G258" i="2" s="1"/>
  <c r="H258" i="2" s="1"/>
  <c r="F219" i="2"/>
  <c r="G219" i="2" s="1"/>
  <c r="H219" i="2" s="1"/>
  <c r="F229" i="2"/>
  <c r="G229" i="2" s="1"/>
  <c r="H229" i="2" s="1"/>
  <c r="F248" i="2"/>
  <c r="G248" i="2" s="1"/>
  <c r="H248" i="2" s="1"/>
  <c r="F178" i="2"/>
  <c r="G178" i="2" s="1"/>
  <c r="H178" i="2" s="1"/>
  <c r="F204" i="2"/>
  <c r="G204" i="2" s="1"/>
  <c r="H204" i="2" s="1"/>
  <c r="F139" i="2"/>
  <c r="G139" i="2" s="1"/>
  <c r="H139" i="2" s="1"/>
  <c r="F146" i="2"/>
  <c r="G146" i="2" s="1"/>
  <c r="H146" i="2" s="1"/>
  <c r="F242" i="2"/>
  <c r="G242" i="2" s="1"/>
  <c r="H242" i="2" s="1"/>
  <c r="F180" i="2"/>
  <c r="G180" i="2" s="1"/>
  <c r="H180" i="2" s="1"/>
  <c r="F227" i="2"/>
  <c r="G227" i="2" s="1"/>
  <c r="H227" i="2" s="1"/>
  <c r="F192" i="2"/>
  <c r="G192" i="2" s="1"/>
  <c r="H192" i="2" s="1"/>
  <c r="F244" i="2"/>
  <c r="G244" i="2" s="1"/>
  <c r="H244" i="2" s="1"/>
  <c r="F199" i="2"/>
  <c r="G199" i="2" s="1"/>
  <c r="H199" i="2" s="1"/>
  <c r="F23" i="1"/>
  <c r="G23" i="1" s="1"/>
  <c r="H23" i="1" s="1"/>
  <c r="F26" i="1"/>
  <c r="G26" i="1" s="1"/>
  <c r="H26" i="1" s="1"/>
  <c r="F35" i="1"/>
  <c r="G35" i="1" s="1"/>
  <c r="H35" i="1" s="1"/>
  <c r="F96" i="1"/>
  <c r="G96" i="1" s="1"/>
  <c r="H96" i="1" s="1"/>
  <c r="F111" i="1"/>
  <c r="G111" i="1" s="1"/>
  <c r="H111" i="1" s="1"/>
  <c r="F60" i="2"/>
  <c r="G60" i="2" s="1"/>
  <c r="H60" i="2" s="1"/>
  <c r="F64" i="2"/>
  <c r="G64" i="2" s="1"/>
  <c r="H64" i="2" s="1"/>
  <c r="F42" i="2"/>
  <c r="G42" i="2" s="1"/>
  <c r="H42" i="2" s="1"/>
  <c r="F45" i="2"/>
  <c r="G45" i="2" s="1"/>
  <c r="H45" i="2" s="1"/>
  <c r="F10" i="2"/>
  <c r="G10" i="2" s="1"/>
  <c r="H10" i="2" s="1"/>
  <c r="F42" i="1"/>
  <c r="G42" i="1" s="1"/>
  <c r="H42" i="1" s="1"/>
  <c r="F48" i="2"/>
  <c r="G48" i="2" s="1"/>
  <c r="H48" i="2" s="1"/>
  <c r="F55" i="2"/>
  <c r="G55" i="2" s="1"/>
  <c r="H55" i="2" s="1"/>
  <c r="F15" i="2"/>
  <c r="G15" i="2" s="1"/>
  <c r="H15" i="2" s="1"/>
  <c r="F17" i="1"/>
  <c r="G17" i="1" s="1"/>
  <c r="H17" i="1" s="1"/>
  <c r="F49" i="1"/>
  <c r="G49" i="1" s="1"/>
  <c r="H49" i="1" s="1"/>
  <c r="F86" i="2"/>
  <c r="G86" i="2" s="1"/>
  <c r="H86" i="2" s="1"/>
  <c r="F12" i="1"/>
  <c r="G12" i="1" s="1"/>
  <c r="H12" i="1" s="1"/>
  <c r="F76" i="1"/>
  <c r="G76" i="1" s="1"/>
  <c r="H76" i="1" s="1"/>
  <c r="F49" i="2"/>
  <c r="G49" i="2" s="1"/>
  <c r="H49" i="2" s="1"/>
  <c r="F110" i="2"/>
  <c r="G110" i="2" s="1"/>
  <c r="H110" i="2" s="1"/>
  <c r="F112" i="2"/>
  <c r="G112" i="2" s="1"/>
  <c r="H112" i="2" s="1"/>
  <c r="F147" i="2"/>
  <c r="G147" i="2" s="1"/>
  <c r="H147" i="2" s="1"/>
  <c r="F237" i="2"/>
  <c r="G237" i="2" s="1"/>
  <c r="H237" i="2" s="1"/>
  <c r="F120" i="2"/>
  <c r="G120" i="2" s="1"/>
  <c r="H120" i="2" s="1"/>
  <c r="F224" i="2"/>
  <c r="G224" i="2" s="1"/>
  <c r="H224" i="2" s="1"/>
  <c r="F122" i="2"/>
  <c r="G122" i="2" s="1"/>
  <c r="H122" i="2" s="1"/>
  <c r="F159" i="2"/>
  <c r="G159" i="2" s="1"/>
  <c r="H159" i="2" s="1"/>
  <c r="F127" i="2"/>
  <c r="G127" i="2" s="1"/>
  <c r="H127" i="2" s="1"/>
  <c r="F239" i="2"/>
  <c r="G239" i="2" s="1"/>
  <c r="H239" i="2" s="1"/>
  <c r="F160" i="2"/>
  <c r="G160" i="2" s="1"/>
  <c r="H160" i="2" s="1"/>
  <c r="F126" i="2"/>
  <c r="G126" i="2" s="1"/>
  <c r="H126" i="2" s="1"/>
  <c r="F223" i="2"/>
  <c r="G223" i="2" s="1"/>
  <c r="H223" i="2" s="1"/>
  <c r="F194" i="2"/>
  <c r="G194" i="2" s="1"/>
  <c r="H194" i="2" s="1"/>
  <c r="F236" i="2"/>
  <c r="G236" i="2" s="1"/>
  <c r="H236" i="2" s="1"/>
  <c r="F136" i="2"/>
  <c r="G136" i="2" s="1"/>
  <c r="H136" i="2" s="1"/>
  <c r="F212" i="2"/>
  <c r="G212" i="2" s="1"/>
  <c r="H212" i="2" s="1"/>
  <c r="F259" i="2"/>
  <c r="G259" i="2" s="1"/>
  <c r="H259" i="2" s="1"/>
  <c r="F255" i="2"/>
  <c r="G255" i="2" s="1"/>
  <c r="H255" i="2" s="1"/>
  <c r="F228" i="2"/>
  <c r="G228" i="2" s="1"/>
  <c r="H228" i="2" s="1"/>
  <c r="F71" i="2"/>
  <c r="G71" i="2" s="1"/>
  <c r="H71" i="2" s="1"/>
  <c r="F226" i="2"/>
  <c r="G226" i="2" s="1"/>
  <c r="H226" i="2" s="1"/>
  <c r="F232" i="2"/>
  <c r="G232" i="2" s="1"/>
  <c r="H232" i="2" s="1"/>
  <c r="F31" i="1"/>
  <c r="G31" i="1" s="1"/>
  <c r="H31" i="1" s="1"/>
  <c r="F34" i="1"/>
  <c r="G34" i="1" s="1"/>
  <c r="H34" i="1" s="1"/>
  <c r="F109" i="1"/>
  <c r="G109" i="1" s="1"/>
  <c r="H109" i="1" s="1"/>
  <c r="F104" i="1"/>
  <c r="G104" i="1" s="1"/>
  <c r="H104" i="1" s="1"/>
  <c r="F102" i="1"/>
  <c r="G102" i="1" s="1"/>
  <c r="H102" i="1" s="1"/>
  <c r="F54" i="2"/>
  <c r="G54" i="2" s="1"/>
  <c r="H54" i="2" s="1"/>
  <c r="F36" i="2"/>
  <c r="G36" i="2" s="1"/>
  <c r="H36" i="2" s="1"/>
  <c r="F66" i="2"/>
  <c r="G66" i="2" s="1"/>
  <c r="H66" i="2" s="1"/>
  <c r="F11" i="2"/>
  <c r="G11" i="2" s="1"/>
  <c r="H11" i="2" s="1"/>
  <c r="F77" i="1"/>
  <c r="G77" i="1" s="1"/>
  <c r="H77" i="1" s="1"/>
  <c r="F44" i="2"/>
  <c r="G44" i="2" s="1"/>
  <c r="H44" i="2" s="1"/>
  <c r="F7" i="2"/>
  <c r="G7" i="2" s="1"/>
  <c r="H7" i="2" s="1"/>
  <c r="F54" i="1"/>
  <c r="G54" i="1" s="1"/>
  <c r="H54" i="1" s="1"/>
  <c r="F82" i="2"/>
  <c r="G82" i="2" s="1"/>
  <c r="H82" i="2" s="1"/>
  <c r="F93" i="2"/>
  <c r="G93" i="2" s="1"/>
  <c r="H93" i="2" s="1"/>
  <c r="F20" i="1"/>
  <c r="G20" i="1" s="1"/>
  <c r="H20" i="1" s="1"/>
  <c r="F109" i="2"/>
  <c r="G109" i="2" s="1"/>
  <c r="H109" i="2" s="1"/>
  <c r="F41" i="2"/>
  <c r="G41" i="2" s="1"/>
  <c r="H41" i="2" s="1"/>
  <c r="F92" i="2"/>
  <c r="G92" i="2" s="1"/>
  <c r="H92" i="2" s="1"/>
  <c r="F167" i="2"/>
  <c r="G167" i="2" s="1"/>
  <c r="H167" i="2" s="1"/>
  <c r="F153" i="2"/>
  <c r="G153" i="2" s="1"/>
  <c r="H153" i="2" s="1"/>
  <c r="F164" i="2"/>
  <c r="G164" i="2" s="1"/>
  <c r="H164" i="2" s="1"/>
  <c r="F262" i="2"/>
  <c r="G262" i="2" s="1"/>
  <c r="H262" i="2" s="1"/>
  <c r="F190" i="2"/>
  <c r="G190" i="2" s="1"/>
  <c r="H190" i="2" s="1"/>
  <c r="F142" i="2"/>
  <c r="G142" i="2" s="1"/>
  <c r="H142" i="2" s="1"/>
  <c r="F183" i="2"/>
  <c r="G183" i="2" s="1"/>
  <c r="H183" i="2" s="1"/>
  <c r="F217" i="2"/>
  <c r="G217" i="2" s="1"/>
  <c r="H217" i="2" s="1"/>
  <c r="F166" i="2"/>
  <c r="G166" i="2" s="1"/>
  <c r="H166" i="2" s="1"/>
  <c r="F155" i="2"/>
  <c r="G155" i="2" s="1"/>
  <c r="H155" i="2" s="1"/>
  <c r="F185" i="2"/>
  <c r="G185" i="2" s="1"/>
  <c r="H185" i="2" s="1"/>
  <c r="F111" i="2"/>
  <c r="G111" i="2" s="1"/>
  <c r="H111" i="2" s="1"/>
  <c r="F209" i="2"/>
  <c r="G209" i="2" s="1"/>
  <c r="H209" i="2" s="1"/>
  <c r="F157" i="2"/>
  <c r="G157" i="2" s="1"/>
  <c r="H157" i="2" s="1"/>
  <c r="F238" i="2"/>
  <c r="G238" i="2" s="1"/>
  <c r="H238" i="2" s="1"/>
  <c r="F210" i="2"/>
  <c r="G210" i="2" s="1"/>
  <c r="H210" i="2" s="1"/>
  <c r="F235" i="2"/>
  <c r="G235" i="2" s="1"/>
  <c r="H235" i="2" s="1"/>
  <c r="F128" i="2"/>
  <c r="G128" i="2" s="1"/>
  <c r="H128" i="2" s="1"/>
  <c r="F39" i="1"/>
  <c r="G39" i="1" s="1"/>
  <c r="H39" i="1" s="1"/>
  <c r="F100" i="1"/>
  <c r="G100" i="1" s="1"/>
  <c r="H100" i="1" s="1"/>
  <c r="F82" i="1"/>
  <c r="G82" i="1" s="1"/>
  <c r="H82" i="1" s="1"/>
  <c r="F114" i="1"/>
  <c r="G114" i="1" s="1"/>
  <c r="H114" i="1" s="1"/>
  <c r="F51" i="1"/>
  <c r="G51" i="1" s="1"/>
  <c r="H51" i="1" s="1"/>
  <c r="F112" i="1"/>
  <c r="G112" i="1" s="1"/>
  <c r="H112" i="1" s="1"/>
  <c r="F105" i="1"/>
  <c r="G105" i="1" s="1"/>
  <c r="H105" i="1" s="1"/>
  <c r="F12" i="2"/>
  <c r="G12" i="2" s="1"/>
  <c r="H12" i="2" s="1"/>
  <c r="F4" i="2"/>
  <c r="G4" i="2" s="1"/>
  <c r="H4" i="2" s="1"/>
  <c r="F58" i="2"/>
  <c r="G58" i="2" s="1"/>
  <c r="H58" i="2" s="1"/>
  <c r="F34" i="2"/>
  <c r="G34" i="2" s="1"/>
  <c r="H34" i="2" s="1"/>
  <c r="F90" i="2"/>
  <c r="G90" i="2" s="1"/>
  <c r="H90" i="2" s="1"/>
  <c r="F108" i="2"/>
  <c r="G108" i="2" s="1"/>
  <c r="H108" i="2" s="1"/>
  <c r="F24" i="2"/>
  <c r="G24" i="2" s="1"/>
  <c r="H24" i="2" s="1"/>
  <c r="F40" i="1"/>
  <c r="G40" i="1" s="1"/>
  <c r="H40" i="1" s="1"/>
  <c r="F35" i="2"/>
  <c r="G35" i="2" s="1"/>
  <c r="H35" i="2" s="1"/>
  <c r="F89" i="2"/>
  <c r="G89" i="2" s="1"/>
  <c r="H89" i="2" s="1"/>
  <c r="F28" i="1"/>
  <c r="G28" i="1" s="1"/>
  <c r="H28" i="1" s="1"/>
  <c r="F37" i="2"/>
  <c r="G37" i="2" s="1"/>
  <c r="H37" i="2" s="1"/>
  <c r="F57" i="2"/>
  <c r="G57" i="2" s="1"/>
  <c r="H57" i="2" s="1"/>
  <c r="F261" i="2"/>
  <c r="G261" i="2" s="1"/>
  <c r="H261" i="2" s="1"/>
  <c r="F257" i="2"/>
  <c r="G257" i="2" s="1"/>
  <c r="H257" i="2" s="1"/>
  <c r="F131" i="2"/>
  <c r="G131" i="2" s="1"/>
  <c r="H131" i="2" s="1"/>
  <c r="F203" i="2"/>
  <c r="G203" i="2" s="1"/>
  <c r="H203" i="2" s="1"/>
  <c r="F144" i="2"/>
  <c r="G144" i="2" s="1"/>
  <c r="H144" i="2" s="1"/>
  <c r="F221" i="2"/>
  <c r="G221" i="2" s="1"/>
  <c r="H221" i="2" s="1"/>
  <c r="F246" i="2"/>
  <c r="G246" i="2" s="1"/>
  <c r="H246" i="2" s="1"/>
  <c r="F150" i="2"/>
  <c r="G150" i="2" s="1"/>
  <c r="H150" i="2" s="1"/>
  <c r="F170" i="2"/>
  <c r="G170" i="2" s="1"/>
  <c r="H170" i="2" s="1"/>
  <c r="F162" i="2"/>
  <c r="G162" i="2" s="1"/>
  <c r="H162" i="2" s="1"/>
  <c r="F250" i="2"/>
  <c r="G250" i="2" s="1"/>
  <c r="H250" i="2" s="1"/>
  <c r="F231" i="2"/>
  <c r="G231" i="2" s="1"/>
  <c r="H231" i="2" s="1"/>
  <c r="F151" i="2"/>
  <c r="G151" i="2" s="1"/>
  <c r="H151" i="2" s="1"/>
  <c r="F245" i="2"/>
  <c r="G245" i="2" s="1"/>
  <c r="H245" i="2" s="1"/>
  <c r="F175" i="2"/>
  <c r="G175" i="2" s="1"/>
  <c r="H175" i="2" s="1"/>
  <c r="F191" i="2"/>
  <c r="G191" i="2" s="1"/>
  <c r="H191" i="2" s="1"/>
  <c r="F243" i="2"/>
  <c r="G243" i="2" s="1"/>
  <c r="H243" i="2" s="1"/>
  <c r="F121" i="2"/>
  <c r="G121" i="2" s="1"/>
  <c r="H121" i="2" s="1"/>
  <c r="F129" i="2"/>
  <c r="G129" i="2" s="1"/>
  <c r="H129" i="2" s="1"/>
  <c r="F195" i="2"/>
  <c r="G195" i="2" s="1"/>
  <c r="H195" i="2" s="1"/>
  <c r="F133" i="2"/>
  <c r="G133" i="2" s="1"/>
  <c r="H133" i="2" s="1"/>
  <c r="F251" i="2"/>
  <c r="G251" i="2" s="1"/>
  <c r="H251" i="2" s="1"/>
  <c r="F161" i="2"/>
  <c r="G161" i="2" s="1"/>
  <c r="H161" i="2" s="1"/>
  <c r="F143" i="2"/>
  <c r="G143" i="2" s="1"/>
  <c r="H143" i="2" s="1"/>
  <c r="F241" i="2"/>
  <c r="G241" i="2" s="1"/>
  <c r="H241" i="2" s="1"/>
  <c r="F173" i="2"/>
  <c r="G173" i="2" s="1"/>
  <c r="H173" i="2" s="1"/>
  <c r="F264" i="2"/>
  <c r="G264" i="2" s="1"/>
  <c r="H264" i="2" s="1"/>
  <c r="F196" i="2"/>
  <c r="G196" i="2" s="1"/>
  <c r="H196" i="2" s="1"/>
  <c r="F256" i="2"/>
  <c r="G256" i="2" s="1"/>
  <c r="H256" i="2" s="1"/>
  <c r="F179" i="2"/>
  <c r="G179" i="2" s="1"/>
  <c r="H179" i="2" s="1"/>
  <c r="F6" i="2"/>
  <c r="G6" i="2" s="1"/>
  <c r="H6" i="2" s="1"/>
  <c r="F2" i="1"/>
  <c r="G2" i="1" s="1"/>
  <c r="F116" i="2"/>
  <c r="G116" i="2" s="1"/>
  <c r="H116" i="2" s="1"/>
  <c r="F114" i="2"/>
  <c r="G114" i="2" s="1"/>
  <c r="H114" i="2" s="1"/>
  <c r="F187" i="2"/>
  <c r="G187" i="2" s="1"/>
  <c r="H187" i="2" s="1"/>
  <c r="F47" i="1"/>
  <c r="G47" i="1" s="1"/>
  <c r="H47" i="1" s="1"/>
  <c r="F108" i="1"/>
  <c r="G108" i="1" s="1"/>
  <c r="H108" i="1" s="1"/>
  <c r="F85" i="1"/>
  <c r="G85" i="1" s="1"/>
  <c r="H85" i="1" s="1"/>
  <c r="F117" i="1"/>
  <c r="G117" i="1" s="1"/>
  <c r="H117" i="1" s="1"/>
  <c r="F59" i="1"/>
  <c r="G59" i="1" s="1"/>
  <c r="H59" i="1" s="1"/>
  <c r="F6" i="1"/>
  <c r="G6" i="1" s="1"/>
  <c r="H6" i="1" s="1"/>
  <c r="F110" i="1"/>
  <c r="G110" i="1" s="1"/>
  <c r="H110" i="1" s="1"/>
  <c r="F99" i="1"/>
  <c r="G99" i="1" s="1"/>
  <c r="H99" i="1" s="1"/>
  <c r="F94" i="2"/>
  <c r="G94" i="2" s="1"/>
  <c r="H94" i="2" s="1"/>
  <c r="F46" i="2"/>
  <c r="G46" i="2" s="1"/>
  <c r="H46" i="2" s="1"/>
  <c r="F47" i="2"/>
  <c r="G47" i="2" s="1"/>
  <c r="H47" i="2" s="1"/>
  <c r="F26" i="2"/>
  <c r="G26" i="2" s="1"/>
  <c r="H26" i="2" s="1"/>
  <c r="F5" i="1"/>
  <c r="G5" i="1" s="1"/>
  <c r="H5" i="1" s="1"/>
  <c r="F53" i="1"/>
  <c r="G53" i="1" s="1"/>
  <c r="H53" i="1" s="1"/>
  <c r="F107" i="2"/>
  <c r="G107" i="2" s="1"/>
  <c r="H107" i="2" s="1"/>
  <c r="F31" i="2"/>
  <c r="G31" i="2" s="1"/>
  <c r="H31" i="2" s="1"/>
  <c r="F62" i="1"/>
  <c r="G62" i="1" s="1"/>
  <c r="H62" i="1" s="1"/>
  <c r="F74" i="2"/>
  <c r="G74" i="2" s="1"/>
  <c r="H74" i="2" s="1"/>
  <c r="F62" i="2"/>
  <c r="G62" i="2" s="1"/>
  <c r="H62" i="2" s="1"/>
  <c r="F36" i="1"/>
  <c r="G36" i="1" s="1"/>
  <c r="H36" i="1" s="1"/>
  <c r="F101" i="2"/>
  <c r="G101" i="2" s="1"/>
  <c r="H101" i="2" s="1"/>
  <c r="F29" i="2"/>
  <c r="G29" i="2" s="1"/>
  <c r="H29" i="2" s="1"/>
  <c r="F193" i="2"/>
  <c r="G193" i="2" s="1"/>
  <c r="H193" i="2" s="1"/>
  <c r="F119" i="2"/>
  <c r="G119" i="2" s="1"/>
  <c r="H119" i="2" s="1"/>
  <c r="F118" i="2"/>
  <c r="G118" i="2" s="1"/>
  <c r="H118" i="2" s="1"/>
  <c r="F174" i="2"/>
  <c r="G174" i="2" s="1"/>
  <c r="H174" i="2" s="1"/>
  <c r="F215" i="2"/>
  <c r="G215" i="2" s="1"/>
  <c r="H215" i="2" s="1"/>
  <c r="F149" i="2"/>
  <c r="G149" i="2" s="1"/>
  <c r="H149" i="2" s="1"/>
  <c r="F152" i="2"/>
  <c r="G152" i="2" s="1"/>
  <c r="H152" i="2" s="1"/>
  <c r="F140" i="2"/>
  <c r="G140" i="2" s="1"/>
  <c r="H140" i="2" s="1"/>
  <c r="F207" i="2"/>
  <c r="G207" i="2" s="1"/>
  <c r="H207" i="2" s="1"/>
  <c r="F168" i="2"/>
  <c r="G168" i="2" s="1"/>
  <c r="H168" i="2" s="1"/>
  <c r="F260" i="2"/>
  <c r="G260" i="2" s="1"/>
  <c r="H260" i="2" s="1"/>
  <c r="F154" i="2"/>
  <c r="G154" i="2" s="1"/>
  <c r="H154" i="2" s="1"/>
  <c r="F200" i="2"/>
  <c r="G200" i="2" s="1"/>
  <c r="H200" i="2" s="1"/>
  <c r="F134" i="2"/>
  <c r="G134" i="2" s="1"/>
  <c r="H134" i="2" s="1"/>
  <c r="F252" i="2"/>
  <c r="G252" i="2" s="1"/>
  <c r="H252" i="2" s="1"/>
  <c r="F124" i="2"/>
  <c r="G124" i="2" s="1"/>
  <c r="H124" i="2" s="1"/>
  <c r="F201" i="2"/>
  <c r="G201" i="2" s="1"/>
  <c r="H201" i="2" s="1"/>
  <c r="F189" i="2"/>
  <c r="G189" i="2" s="1"/>
  <c r="H189" i="2" s="1"/>
  <c r="F225" i="2"/>
  <c r="G225" i="2" s="1"/>
  <c r="H225" i="2" s="1"/>
  <c r="F253" i="2"/>
  <c r="G253" i="2" s="1"/>
  <c r="H253" i="2" s="1"/>
  <c r="F263" i="2"/>
  <c r="G263" i="2" s="1"/>
  <c r="H263" i="2" s="1"/>
  <c r="F123" i="2"/>
  <c r="G123" i="2" s="1"/>
  <c r="H123" i="2" s="1"/>
  <c r="F116" i="1"/>
  <c r="G116" i="1" s="1"/>
  <c r="H116" i="1" s="1"/>
  <c r="F113" i="1"/>
  <c r="G113" i="1" s="1"/>
  <c r="H113" i="1" s="1"/>
  <c r="F107" i="1"/>
  <c r="G107" i="1" s="1"/>
  <c r="H107" i="1" s="1"/>
  <c r="F88" i="2"/>
  <c r="G88" i="2" s="1"/>
  <c r="H88" i="2" s="1"/>
  <c r="F40" i="2"/>
  <c r="G40" i="2" s="1"/>
  <c r="H40" i="2" s="1"/>
  <c r="F85" i="2"/>
  <c r="G85" i="2" s="1"/>
  <c r="H85" i="2" s="1"/>
  <c r="F43" i="2"/>
  <c r="G43" i="2" s="1"/>
  <c r="H43" i="2" s="1"/>
  <c r="F16" i="2"/>
  <c r="G16" i="2" s="1"/>
  <c r="H16" i="2" s="1"/>
  <c r="F56" i="2"/>
  <c r="G56" i="2" s="1"/>
  <c r="H56" i="2" s="1"/>
  <c r="F13" i="1"/>
  <c r="G13" i="1" s="1"/>
  <c r="H13" i="1" s="1"/>
  <c r="F103" i="2"/>
  <c r="G103" i="2" s="1"/>
  <c r="H103" i="2" s="1"/>
  <c r="F56" i="1"/>
  <c r="G56" i="1" s="1"/>
  <c r="H56" i="1" s="1"/>
  <c r="F23" i="2"/>
  <c r="G23" i="2" s="1"/>
  <c r="H23" i="2" s="1"/>
  <c r="F63" i="2"/>
  <c r="G63" i="2" s="1"/>
  <c r="H63" i="2" s="1"/>
  <c r="F33" i="1"/>
  <c r="G33" i="1" s="1"/>
  <c r="H33" i="1" s="1"/>
  <c r="F65" i="1"/>
  <c r="G65" i="1" s="1"/>
  <c r="H65" i="1" s="1"/>
  <c r="F3" i="2"/>
  <c r="G3" i="2" s="1"/>
  <c r="F44" i="1"/>
  <c r="G44" i="1" s="1"/>
  <c r="H44" i="1" s="1"/>
  <c r="F97" i="2"/>
  <c r="G97" i="2" s="1"/>
  <c r="H97" i="2" s="1"/>
  <c r="F216" i="2"/>
  <c r="G216" i="2" s="1"/>
  <c r="H216" i="2" s="1"/>
  <c r="F76" i="2"/>
  <c r="G76" i="2" s="1"/>
  <c r="H76" i="2" s="1"/>
  <c r="F138" i="2"/>
  <c r="G138" i="2" s="1"/>
  <c r="H138" i="2" s="1"/>
  <c r="F198" i="2"/>
  <c r="G198" i="2" s="1"/>
  <c r="H198" i="2" s="1"/>
  <c r="F205" i="2"/>
  <c r="G205" i="2" s="1"/>
  <c r="H205" i="2" s="1"/>
  <c r="F233" i="2"/>
  <c r="G233" i="2" s="1"/>
  <c r="H233" i="2" s="1"/>
  <c r="F137" i="2"/>
  <c r="G137" i="2" s="1"/>
  <c r="H137" i="2" s="1"/>
  <c r="F163" i="2"/>
  <c r="G163" i="2" s="1"/>
  <c r="H163" i="2" s="1"/>
  <c r="F156" i="2"/>
  <c r="G156" i="2" s="1"/>
  <c r="H156" i="2" s="1"/>
  <c r="F22" i="2"/>
  <c r="G22" i="2" s="1"/>
  <c r="H22" i="2" s="1"/>
  <c r="F148" i="2"/>
  <c r="G148" i="2" s="1"/>
  <c r="H148" i="2" s="1"/>
  <c r="F113" i="2"/>
  <c r="G113" i="2" s="1"/>
  <c r="H113" i="2" s="1"/>
  <c r="F220" i="2"/>
  <c r="G220" i="2" s="1"/>
  <c r="H220" i="2" s="1"/>
  <c r="F247" i="2"/>
  <c r="G247" i="2" s="1"/>
  <c r="H247" i="2" s="1"/>
  <c r="F141" i="2"/>
  <c r="G141" i="2" s="1"/>
  <c r="H141" i="2" s="1"/>
  <c r="F218" i="2"/>
  <c r="G218" i="2" s="1"/>
  <c r="H218" i="2" s="1"/>
  <c r="F130" i="2"/>
  <c r="G130" i="2" s="1"/>
  <c r="H130" i="2" s="1"/>
  <c r="F63" i="1"/>
  <c r="G63" i="1" s="1"/>
  <c r="H63" i="1" s="1"/>
  <c r="F11" i="1"/>
  <c r="G11" i="1" s="1"/>
  <c r="H11" i="1" s="1"/>
  <c r="F75" i="1"/>
  <c r="G75" i="1" s="1"/>
  <c r="H75" i="1" s="1"/>
  <c r="F86" i="1"/>
  <c r="G86" i="1" s="1"/>
  <c r="H86" i="1" s="1"/>
  <c r="F87" i="1"/>
  <c r="G87" i="1" s="1"/>
  <c r="H87" i="1" s="1"/>
  <c r="F115" i="1"/>
  <c r="G115" i="1" s="1"/>
  <c r="H115" i="1" s="1"/>
  <c r="F72" i="2"/>
  <c r="G72" i="2" s="1"/>
  <c r="H72" i="2" s="1"/>
  <c r="F28" i="2"/>
  <c r="G28" i="2" s="1"/>
  <c r="H28" i="2" s="1"/>
  <c r="F81" i="2"/>
  <c r="G81" i="2" s="1"/>
  <c r="H81" i="2" s="1"/>
  <c r="F32" i="2"/>
  <c r="G32" i="2" s="1"/>
  <c r="H32" i="2" s="1"/>
  <c r="F83" i="2"/>
  <c r="G83" i="2" s="1"/>
  <c r="H83" i="2" s="1"/>
  <c r="F52" i="2"/>
  <c r="G52" i="2" s="1"/>
  <c r="H52" i="2" s="1"/>
  <c r="F61" i="1"/>
  <c r="G61" i="1" s="1"/>
  <c r="H61" i="1" s="1"/>
  <c r="F96" i="2"/>
  <c r="G96" i="2" s="1"/>
  <c r="H96" i="2" s="1"/>
  <c r="F99" i="2"/>
  <c r="G99" i="2" s="1"/>
  <c r="H99" i="2" s="1"/>
  <c r="F64" i="1"/>
  <c r="G64" i="1" s="1"/>
  <c r="H64" i="1" s="1"/>
  <c r="F8" i="2"/>
  <c r="G8" i="2" s="1"/>
  <c r="H8" i="2" s="1"/>
  <c r="F59" i="2"/>
  <c r="G59" i="2" s="1"/>
  <c r="H59" i="2" s="1"/>
  <c r="F38" i="1"/>
  <c r="G38" i="1" s="1"/>
  <c r="H38" i="1" s="1"/>
  <c r="F69" i="2"/>
  <c r="G69" i="2" s="1"/>
  <c r="H69" i="2" s="1"/>
  <c r="F176" i="2"/>
  <c r="G176" i="2" s="1"/>
  <c r="H176" i="2" s="1"/>
  <c r="F249" i="2"/>
  <c r="G249" i="2" s="1"/>
  <c r="H249" i="2" s="1"/>
  <c r="F214" i="2"/>
  <c r="G214" i="2" s="1"/>
  <c r="H214" i="2" s="1"/>
  <c r="F115" i="2"/>
  <c r="G115" i="2" s="1"/>
  <c r="H115" i="2" s="1"/>
  <c r="F158" i="2"/>
  <c r="G158" i="2" s="1"/>
  <c r="H158" i="2" s="1"/>
  <c r="F171" i="2"/>
  <c r="G171" i="2" s="1"/>
  <c r="H171" i="2" s="1"/>
  <c r="F117" i="2"/>
  <c r="G117" i="2" s="1"/>
  <c r="H117" i="2" s="1"/>
  <c r="F213" i="2"/>
  <c r="G213" i="2" s="1"/>
  <c r="H213" i="2" s="1"/>
  <c r="F177" i="2"/>
  <c r="G177" i="2" s="1"/>
  <c r="H177" i="2" s="1"/>
  <c r="F172" i="2"/>
  <c r="G172" i="2" s="1"/>
  <c r="H172" i="2" s="1"/>
  <c r="F188" i="2"/>
  <c r="G188" i="2" s="1"/>
  <c r="H188" i="2" s="1"/>
  <c r="F254" i="2"/>
  <c r="G254" i="2" s="1"/>
  <c r="H254" i="2" s="1"/>
  <c r="F234" i="2"/>
  <c r="G234" i="2" s="1"/>
  <c r="H234" i="2" s="1"/>
  <c r="F7" i="1"/>
  <c r="G7" i="1" s="1"/>
  <c r="H7" i="1" s="1"/>
  <c r="F71" i="1"/>
  <c r="G71" i="1" s="1"/>
  <c r="H71" i="1" s="1"/>
  <c r="F98" i="1"/>
  <c r="G98" i="1" s="1"/>
  <c r="H98" i="1" s="1"/>
  <c r="F19" i="1"/>
  <c r="G19" i="1" s="1"/>
  <c r="H19" i="1" s="1"/>
  <c r="F80" i="1"/>
  <c r="G80" i="1" s="1"/>
  <c r="H80" i="1" s="1"/>
  <c r="F89" i="1"/>
  <c r="G89" i="1" s="1"/>
  <c r="H89" i="1" s="1"/>
  <c r="F95" i="1"/>
  <c r="G95" i="1" s="1"/>
  <c r="H95" i="1" s="1"/>
  <c r="F98" i="2"/>
  <c r="G98" i="2" s="1"/>
  <c r="H98" i="2" s="1"/>
  <c r="F50" i="2"/>
  <c r="G50" i="2" s="1"/>
  <c r="H50" i="2" s="1"/>
  <c r="F102" i="2"/>
  <c r="G102" i="2" s="1"/>
  <c r="H102" i="2" s="1"/>
  <c r="F77" i="2"/>
  <c r="G77" i="2" s="1"/>
  <c r="H77" i="2" s="1"/>
  <c r="F13" i="2"/>
  <c r="G13" i="2" s="1"/>
  <c r="H13" i="2" s="1"/>
  <c r="F79" i="2"/>
  <c r="G79" i="2" s="1"/>
  <c r="H79" i="2" s="1"/>
  <c r="F33" i="2"/>
  <c r="G33" i="2" s="1"/>
  <c r="H33" i="2" s="1"/>
  <c r="F66" i="1"/>
  <c r="G66" i="1" s="1"/>
  <c r="H66" i="1" s="1"/>
  <c r="F17" i="2"/>
  <c r="G17" i="2" s="1"/>
  <c r="H17" i="2" s="1"/>
  <c r="F95" i="2"/>
  <c r="G95" i="2" s="1"/>
  <c r="H95" i="2" s="1"/>
  <c r="F8" i="1"/>
  <c r="G8" i="1" s="1"/>
  <c r="H8" i="1" s="1"/>
  <c r="F72" i="1"/>
  <c r="G72" i="1" s="1"/>
  <c r="H72" i="1" s="1"/>
  <c r="F9" i="1"/>
  <c r="G9" i="1" s="1"/>
  <c r="H9" i="1" s="1"/>
  <c r="F41" i="1"/>
  <c r="G41" i="1" s="1"/>
  <c r="H41" i="1" s="1"/>
  <c r="F73" i="1"/>
  <c r="G73" i="1" s="1"/>
  <c r="H73" i="1" s="1"/>
  <c r="F60" i="1"/>
  <c r="G60" i="1" s="1"/>
  <c r="H60" i="1" s="1"/>
  <c r="F65" i="2"/>
  <c r="G65" i="2" s="1"/>
  <c r="H65" i="2" s="1"/>
  <c r="F9" i="2"/>
  <c r="G9" i="2" s="1"/>
  <c r="H9" i="2" s="1"/>
  <c r="H2" i="10" l="1"/>
  <c r="F15" i="8" s="1"/>
  <c r="D15" i="8"/>
  <c r="H2" i="9"/>
  <c r="F14" i="8" s="1"/>
  <c r="D14" i="8"/>
  <c r="H2" i="11"/>
  <c r="F16" i="8" s="1"/>
  <c r="D16" i="8"/>
  <c r="H2" i="12"/>
  <c r="F17" i="8" s="1"/>
  <c r="D17" i="8"/>
  <c r="D12" i="8"/>
  <c r="D13" i="8"/>
  <c r="H3" i="2"/>
  <c r="F13" i="8" s="1"/>
  <c r="H2" i="1"/>
  <c r="F12" i="8" s="1"/>
  <c r="E14" i="8" l="1"/>
  <c r="E15" i="8"/>
  <c r="E16" i="8"/>
  <c r="E17" i="8"/>
  <c r="E12" i="8"/>
  <c r="E13" i="8"/>
</calcChain>
</file>

<file path=xl/sharedStrings.xml><?xml version="1.0" encoding="utf-8"?>
<sst xmlns="http://schemas.openxmlformats.org/spreadsheetml/2006/main" count="96" uniqueCount="36">
  <si>
    <t>20+</t>
  </si>
  <si>
    <t>501+</t>
  </si>
  <si>
    <t>&lt;=150</t>
  </si>
  <si>
    <t>capped_rank</t>
  </si>
  <si>
    <t>Index</t>
  </si>
  <si>
    <t>%</t>
  </si>
  <si>
    <t>Chart View</t>
  </si>
  <si>
    <t>App-Click Conversion by Rank and Score</t>
  </si>
  <si>
    <t>clicks</t>
  </si>
  <si>
    <t>Cards App-Click Conversion by Result Rank</t>
  </si>
  <si>
    <t>banded_score2</t>
  </si>
  <si>
    <t>Capped_rank</t>
  </si>
  <si>
    <t>Conversion</t>
  </si>
  <si>
    <t>clicks*rank</t>
  </si>
  <si>
    <t>results*rank</t>
  </si>
  <si>
    <t>Scenario</t>
  </si>
  <si>
    <t>App-Clicks</t>
  </si>
  <si>
    <t>Average App-Click Rank</t>
  </si>
  <si>
    <t>Average Result Rank</t>
  </si>
  <si>
    <t>% Baseline</t>
  </si>
  <si>
    <t>total_clicks</t>
  </si>
  <si>
    <t>total_views</t>
  </si>
  <si>
    <t>Impact of  APR on Ranking and App-Clicks</t>
  </si>
  <si>
    <t>Modelling based on 01/02/2022-02/02/22</t>
  </si>
  <si>
    <t>Baseline - Marbles Classic CC 32.9% APR</t>
  </si>
  <si>
    <t>capped_score_formatted</t>
  </si>
  <si>
    <t>capped_rank_formatted</t>
  </si>
  <si>
    <t>Gamed Scenario 1</t>
  </si>
  <si>
    <t>Gamed Scenario 2</t>
  </si>
  <si>
    <t>Gamed Scenario 3</t>
  </si>
  <si>
    <t>Gamed Scenario 4</t>
  </si>
  <si>
    <t>Gamed Scenario 5</t>
  </si>
  <si>
    <t>final_rank</t>
  </si>
  <si>
    <t>banded_score</t>
  </si>
  <si>
    <t>results</t>
  </si>
  <si>
    <t>capped_score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</si>
</sst>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2" applyNumberFormat="1" applyFont="1"/>
    <xf numFmtId="0" fontId="2" fillId="0" borderId="0" xfId="0" applyFont="1"/>
    <xf numFmtId="43" fontId="0" fillId="0" borderId="0" xfId="1" applyFont="1"/>
    <xf numFmtId="0" fontId="0" fillId="0" borderId="0" xfId="0" applyFont="1"/>
    <xf numFmtId="43" fontId="0" fillId="0" borderId="0" xfId="0" applyNumberFormat="1"/>
    <xf numFmtId="0" fontId="3" fillId="0" borderId="0" xfId="0" applyFont="1"/>
    <xf numFmtId="164" fontId="3" fillId="0" borderId="0" xfId="2" applyNumberFormat="1" applyFont="1"/>
    <xf numFmtId="0" fontId="0" fillId="0" borderId="0" xfId="0" applyFill="1"/>
    <xf numFmtId="1" fontId="0" fillId="0" borderId="0" xfId="0" applyNumberForma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'App-Click Conversion by Rank'!$K$11</c:f>
              <c:strCache>
                <c:ptCount val="1"/>
                <c:pt idx="0">
                  <c:v>&lt;=150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Rank'!$K$12:$K$31</c:f>
              <c:numCache>
                <c:formatCode>0.0%</c:formatCode>
                <c:ptCount val="20"/>
                <c:pt idx="0">
                  <c:v>0.37077294685990336</c:v>
                </c:pt>
                <c:pt idx="1">
                  <c:v>0.14536340852130325</c:v>
                </c:pt>
                <c:pt idx="2">
                  <c:v>9.8360655737704916E-2</c:v>
                </c:pt>
                <c:pt idx="3">
                  <c:v>0.12549019607843137</c:v>
                </c:pt>
                <c:pt idx="4">
                  <c:v>8.11965811965812E-2</c:v>
                </c:pt>
                <c:pt idx="5">
                  <c:v>6.25E-2</c:v>
                </c:pt>
                <c:pt idx="6">
                  <c:v>2.0202020202020204E-2</c:v>
                </c:pt>
                <c:pt idx="7">
                  <c:v>0</c:v>
                </c:pt>
                <c:pt idx="8">
                  <c:v>0</c:v>
                </c:pt>
                <c:pt idx="9">
                  <c:v>1.3333333333333334E-2</c:v>
                </c:pt>
                <c:pt idx="10">
                  <c:v>1.9230769230769232E-2</c:v>
                </c:pt>
                <c:pt idx="11">
                  <c:v>6.6666666666666666E-2</c:v>
                </c:pt>
                <c:pt idx="12">
                  <c:v>2.8571428571428571E-2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A7-4FAA-BBFC-B961E78396F7}"/>
            </c:ext>
          </c:extLst>
        </c:ser>
        <c:ser>
          <c:idx val="1"/>
          <c:order val="1"/>
          <c:tx>
            <c:strRef>
              <c:f>'App-Click Conversion by Rank'!$L$11</c:f>
              <c:strCache>
                <c:ptCount val="1"/>
                <c:pt idx="0">
                  <c:v>200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Rank'!$L$12:$L$31</c:f>
              <c:numCache>
                <c:formatCode>0.0%</c:formatCode>
                <c:ptCount val="20"/>
                <c:pt idx="0">
                  <c:v>0.3141025641025641</c:v>
                </c:pt>
                <c:pt idx="1">
                  <c:v>0.13572679509632224</c:v>
                </c:pt>
                <c:pt idx="2">
                  <c:v>9.3181818181818185E-2</c:v>
                </c:pt>
                <c:pt idx="3">
                  <c:v>0.10109289617486339</c:v>
                </c:pt>
                <c:pt idx="4">
                  <c:v>5.2173913043478258E-2</c:v>
                </c:pt>
                <c:pt idx="5">
                  <c:v>3.486529318541997E-2</c:v>
                </c:pt>
                <c:pt idx="6">
                  <c:v>2.3569023569023569E-2</c:v>
                </c:pt>
                <c:pt idx="7">
                  <c:v>1.7817371937639197E-2</c:v>
                </c:pt>
                <c:pt idx="8">
                  <c:v>1.7595307917888565E-2</c:v>
                </c:pt>
                <c:pt idx="9">
                  <c:v>1.7361111111111112E-2</c:v>
                </c:pt>
                <c:pt idx="10">
                  <c:v>1.8433179723502304E-2</c:v>
                </c:pt>
                <c:pt idx="11">
                  <c:v>1.1764705882352941E-2</c:v>
                </c:pt>
                <c:pt idx="12">
                  <c:v>7.3529411764705881E-3</c:v>
                </c:pt>
                <c:pt idx="13">
                  <c:v>0</c:v>
                </c:pt>
                <c:pt idx="14">
                  <c:v>1.1627906976744186E-2</c:v>
                </c:pt>
                <c:pt idx="15">
                  <c:v>1.3698630136986301E-2</c:v>
                </c:pt>
                <c:pt idx="16">
                  <c:v>1.4925373134328358E-2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A7-4FAA-BBFC-B961E78396F7}"/>
            </c:ext>
          </c:extLst>
        </c:ser>
        <c:ser>
          <c:idx val="2"/>
          <c:order val="2"/>
          <c:tx>
            <c:strRef>
              <c:f>'App-Click Conversion by Rank'!$M$11</c:f>
              <c:strCache>
                <c:ptCount val="1"/>
                <c:pt idx="0">
                  <c:v>250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Rank'!$M$12:$M$31</c:f>
              <c:numCache>
                <c:formatCode>0.0%</c:formatCode>
                <c:ptCount val="20"/>
                <c:pt idx="0">
                  <c:v>0.3187376725838264</c:v>
                </c:pt>
                <c:pt idx="1">
                  <c:v>0.1417883861774136</c:v>
                </c:pt>
                <c:pt idx="2">
                  <c:v>0.10116550116550116</c:v>
                </c:pt>
                <c:pt idx="3">
                  <c:v>6.9376693766937669E-2</c:v>
                </c:pt>
                <c:pt idx="4">
                  <c:v>5.772594752186589E-2</c:v>
                </c:pt>
                <c:pt idx="5">
                  <c:v>4.0523690773067333E-2</c:v>
                </c:pt>
                <c:pt idx="6">
                  <c:v>3.7137069547602972E-2</c:v>
                </c:pt>
                <c:pt idx="7">
                  <c:v>3.04E-2</c:v>
                </c:pt>
                <c:pt idx="8">
                  <c:v>1.7475728155339806E-2</c:v>
                </c:pt>
                <c:pt idx="9">
                  <c:v>2.768166089965398E-2</c:v>
                </c:pt>
                <c:pt idx="10">
                  <c:v>8.7463556851311956E-3</c:v>
                </c:pt>
                <c:pt idx="11">
                  <c:v>1.3333333333333334E-2</c:v>
                </c:pt>
                <c:pt idx="12">
                  <c:v>1.201923076923077E-2</c:v>
                </c:pt>
                <c:pt idx="13">
                  <c:v>1.7751479289940829E-2</c:v>
                </c:pt>
                <c:pt idx="14">
                  <c:v>1.4084507042253521E-2</c:v>
                </c:pt>
                <c:pt idx="15">
                  <c:v>8.5836909871244635E-3</c:v>
                </c:pt>
                <c:pt idx="16">
                  <c:v>1.5306122448979591E-2</c:v>
                </c:pt>
                <c:pt idx="17">
                  <c:v>6.1728395061728392E-3</c:v>
                </c:pt>
                <c:pt idx="18">
                  <c:v>8.130081300813009E-3</c:v>
                </c:pt>
                <c:pt idx="19">
                  <c:v>1.0638297872340425E-2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A7-4FAA-BBFC-B961E78396F7}"/>
            </c:ext>
          </c:extLst>
        </c:ser>
        <c:ser>
          <c:idx val="3"/>
          <c:order val="3"/>
          <c:tx>
            <c:strRef>
              <c:f>'App-Click Conversion by Rank'!$N$11</c:f>
              <c:strCache>
                <c:ptCount val="1"/>
                <c:pt idx="0">
                  <c:v>300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Rank'!$N$12:$N$31</c:f>
              <c:numCache>
                <c:formatCode>0.0%</c:formatCode>
                <c:ptCount val="20"/>
                <c:pt idx="0">
                  <c:v>0.27164439279488667</c:v>
                </c:pt>
                <c:pt idx="1">
                  <c:v>0.11406010089932003</c:v>
                </c:pt>
                <c:pt idx="2">
                  <c:v>7.8236914600550961E-2</c:v>
                </c:pt>
                <c:pt idx="3">
                  <c:v>5.5850234009360372E-2</c:v>
                </c:pt>
                <c:pt idx="4">
                  <c:v>4.7058823529411764E-2</c:v>
                </c:pt>
                <c:pt idx="5">
                  <c:v>3.6284470246734396E-2</c:v>
                </c:pt>
                <c:pt idx="6">
                  <c:v>3.3102386451116246E-2</c:v>
                </c:pt>
                <c:pt idx="7">
                  <c:v>2.3454157782515993E-2</c:v>
                </c:pt>
                <c:pt idx="8">
                  <c:v>2.0078354554358472E-2</c:v>
                </c:pt>
                <c:pt idx="9">
                  <c:v>1.560758082497213E-2</c:v>
                </c:pt>
                <c:pt idx="10">
                  <c:v>1.0526315789473684E-2</c:v>
                </c:pt>
                <c:pt idx="11">
                  <c:v>1.4763014763014764E-2</c:v>
                </c:pt>
                <c:pt idx="12">
                  <c:v>1.0607521697203472E-2</c:v>
                </c:pt>
                <c:pt idx="13">
                  <c:v>1.1160714285714286E-2</c:v>
                </c:pt>
                <c:pt idx="14">
                  <c:v>6.4850843060959796E-3</c:v>
                </c:pt>
                <c:pt idx="15">
                  <c:v>1.3412816691505217E-2</c:v>
                </c:pt>
                <c:pt idx="16">
                  <c:v>1.736111111111111E-3</c:v>
                </c:pt>
                <c:pt idx="17">
                  <c:v>5.8708414872798431E-3</c:v>
                </c:pt>
                <c:pt idx="18">
                  <c:v>9.7799511002444987E-3</c:v>
                </c:pt>
                <c:pt idx="19">
                  <c:v>4.5385779122541605E-3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A7-4FAA-BBFC-B961E78396F7}"/>
            </c:ext>
          </c:extLst>
        </c:ser>
        <c:ser>
          <c:idx val="4"/>
          <c:order val="4"/>
          <c:tx>
            <c:strRef>
              <c:f>'App-Click Conversion by Rank'!$O$11</c:f>
              <c:strCache>
                <c:ptCount val="1"/>
                <c:pt idx="0">
                  <c:v>350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Rank'!$O$12:$O$31</c:f>
              <c:numCache>
                <c:formatCode>0.0%</c:formatCode>
                <c:ptCount val="20"/>
                <c:pt idx="0">
                  <c:v>0.22531939605110338</c:v>
                </c:pt>
                <c:pt idx="1">
                  <c:v>0.10566877890049665</c:v>
                </c:pt>
                <c:pt idx="2">
                  <c:v>6.8351870576339735E-2</c:v>
                </c:pt>
                <c:pt idx="3">
                  <c:v>5.6047851129818346E-2</c:v>
                </c:pt>
                <c:pt idx="4">
                  <c:v>3.7553141237600375E-2</c:v>
                </c:pt>
                <c:pt idx="5">
                  <c:v>2.8679245283018868E-2</c:v>
                </c:pt>
                <c:pt idx="6">
                  <c:v>2.2263450834879406E-2</c:v>
                </c:pt>
                <c:pt idx="7">
                  <c:v>1.5720524017467249E-2</c:v>
                </c:pt>
                <c:pt idx="8">
                  <c:v>1.4294996751137101E-2</c:v>
                </c:pt>
                <c:pt idx="9">
                  <c:v>9.1474570069520669E-3</c:v>
                </c:pt>
                <c:pt idx="10">
                  <c:v>1.101141924959217E-2</c:v>
                </c:pt>
                <c:pt idx="11">
                  <c:v>7.4384007438400741E-3</c:v>
                </c:pt>
                <c:pt idx="12">
                  <c:v>3.7654653039268424E-3</c:v>
                </c:pt>
                <c:pt idx="13">
                  <c:v>2.4257125530624622E-3</c:v>
                </c:pt>
                <c:pt idx="14">
                  <c:v>4.048582995951417E-3</c:v>
                </c:pt>
                <c:pt idx="15">
                  <c:v>2.2658610271903325E-3</c:v>
                </c:pt>
                <c:pt idx="16">
                  <c:v>2.5445292620865142E-3</c:v>
                </c:pt>
                <c:pt idx="17">
                  <c:v>2.859866539561487E-3</c:v>
                </c:pt>
                <c:pt idx="18">
                  <c:v>4.608294930875576E-3</c:v>
                </c:pt>
                <c:pt idx="19">
                  <c:v>4.1279669762641896E-3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A7-4FAA-BBFC-B961E78396F7}"/>
            </c:ext>
          </c:extLst>
        </c:ser>
        <c:ser>
          <c:idx val="5"/>
          <c:order val="5"/>
          <c:tx>
            <c:strRef>
              <c:f>'App-Click Conversion by Rank'!$P$11</c:f>
              <c:strCache>
                <c:ptCount val="1"/>
                <c:pt idx="0">
                  <c:v>400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Rank'!$P$12:$P$31</c:f>
              <c:numCache>
                <c:formatCode>0.0%</c:formatCode>
                <c:ptCount val="20"/>
                <c:pt idx="0">
                  <c:v>0.18873271367036953</c:v>
                </c:pt>
                <c:pt idx="1">
                  <c:v>8.940352766931467E-2</c:v>
                </c:pt>
                <c:pt idx="2">
                  <c:v>5.9630292188431723E-2</c:v>
                </c:pt>
                <c:pt idx="3">
                  <c:v>4.4208524797971792E-2</c:v>
                </c:pt>
                <c:pt idx="4">
                  <c:v>2.8956565152271591E-2</c:v>
                </c:pt>
                <c:pt idx="5">
                  <c:v>2.3052741879147746E-2</c:v>
                </c:pt>
                <c:pt idx="6">
                  <c:v>1.7432358816052297E-2</c:v>
                </c:pt>
                <c:pt idx="7">
                  <c:v>1.1600471883602045E-2</c:v>
                </c:pt>
                <c:pt idx="8">
                  <c:v>1.1405207660856467E-2</c:v>
                </c:pt>
                <c:pt idx="9">
                  <c:v>9.4051257935574891E-3</c:v>
                </c:pt>
                <c:pt idx="10">
                  <c:v>8.6912065439672809E-3</c:v>
                </c:pt>
                <c:pt idx="11">
                  <c:v>6.954102920723227E-3</c:v>
                </c:pt>
                <c:pt idx="12">
                  <c:v>4.8470160557406846E-3</c:v>
                </c:pt>
                <c:pt idx="13">
                  <c:v>4.6901172529313232E-3</c:v>
                </c:pt>
                <c:pt idx="14">
                  <c:v>3.6764705882352941E-3</c:v>
                </c:pt>
                <c:pt idx="15">
                  <c:v>5.9880239520958087E-3</c:v>
                </c:pt>
                <c:pt idx="16">
                  <c:v>4.7598442232799658E-3</c:v>
                </c:pt>
                <c:pt idx="17">
                  <c:v>3.8113387327298712E-3</c:v>
                </c:pt>
                <c:pt idx="18">
                  <c:v>2.1220159151193632E-3</c:v>
                </c:pt>
                <c:pt idx="19">
                  <c:v>6.4196625091709463E-3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A7-4FAA-BBFC-B961E78396F7}"/>
            </c:ext>
          </c:extLst>
        </c:ser>
        <c:ser>
          <c:idx val="6"/>
          <c:order val="6"/>
          <c:tx>
            <c:strRef>
              <c:f>'App-Click Conversion by Rank'!$Q$11</c:f>
              <c:strCache>
                <c:ptCount val="1"/>
                <c:pt idx="0">
                  <c:v>450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Rank'!$Q$12:$Q$31</c:f>
              <c:numCache>
                <c:formatCode>0.0%</c:formatCode>
                <c:ptCount val="20"/>
                <c:pt idx="0">
                  <c:v>0.15592720118052139</c:v>
                </c:pt>
                <c:pt idx="1">
                  <c:v>7.482403898213319E-2</c:v>
                </c:pt>
                <c:pt idx="2">
                  <c:v>5.0193489642613248E-2</c:v>
                </c:pt>
                <c:pt idx="3">
                  <c:v>3.7920850561134083E-2</c:v>
                </c:pt>
                <c:pt idx="4">
                  <c:v>2.576881001580163E-2</c:v>
                </c:pt>
                <c:pt idx="5">
                  <c:v>2.4506126531632907E-2</c:v>
                </c:pt>
                <c:pt idx="6">
                  <c:v>1.5087040618955513E-2</c:v>
                </c:pt>
                <c:pt idx="7">
                  <c:v>9.3508605502100554E-3</c:v>
                </c:pt>
                <c:pt idx="8">
                  <c:v>7.0911722141823444E-3</c:v>
                </c:pt>
                <c:pt idx="9">
                  <c:v>8.6499845535990116E-3</c:v>
                </c:pt>
                <c:pt idx="10">
                  <c:v>5.3763440860215058E-3</c:v>
                </c:pt>
                <c:pt idx="11">
                  <c:v>5.1795580110497235E-3</c:v>
                </c:pt>
                <c:pt idx="12">
                  <c:v>3.8468583989741713E-3</c:v>
                </c:pt>
                <c:pt idx="13">
                  <c:v>3.8513383400731755E-3</c:v>
                </c:pt>
                <c:pt idx="14">
                  <c:v>3.0599755201958386E-3</c:v>
                </c:pt>
                <c:pt idx="15">
                  <c:v>3.4283265481037067E-3</c:v>
                </c:pt>
                <c:pt idx="16">
                  <c:v>3.609293931874577E-3</c:v>
                </c:pt>
                <c:pt idx="17">
                  <c:v>2.6493256262042388E-3</c:v>
                </c:pt>
                <c:pt idx="18">
                  <c:v>2.8593709383935534E-3</c:v>
                </c:pt>
                <c:pt idx="19">
                  <c:v>5.6022408963585435E-3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A7-4FAA-BBFC-B961E78396F7}"/>
            </c:ext>
          </c:extLst>
        </c:ser>
        <c:ser>
          <c:idx val="7"/>
          <c:order val="7"/>
          <c:tx>
            <c:strRef>
              <c:f>'App-Click Conversion by Rank'!$R$11</c:f>
              <c:strCache>
                <c:ptCount val="1"/>
                <c:pt idx="0">
                  <c:v>500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Rank'!$R$12:$R$31</c:f>
              <c:numCache>
                <c:formatCode>0.0%</c:formatCode>
                <c:ptCount val="20"/>
                <c:pt idx="0">
                  <c:v>0.14095071958133448</c:v>
                </c:pt>
                <c:pt idx="1">
                  <c:v>7.0611908899661568E-2</c:v>
                </c:pt>
                <c:pt idx="2">
                  <c:v>4.693648116919618E-2</c:v>
                </c:pt>
                <c:pt idx="3">
                  <c:v>3.3269961977186312E-2</c:v>
                </c:pt>
                <c:pt idx="4">
                  <c:v>2.3398058252427186E-2</c:v>
                </c:pt>
                <c:pt idx="5">
                  <c:v>2.218905472636816E-2</c:v>
                </c:pt>
                <c:pt idx="6">
                  <c:v>1.6261794820317206E-2</c:v>
                </c:pt>
                <c:pt idx="7">
                  <c:v>9.114719748559456E-3</c:v>
                </c:pt>
                <c:pt idx="8">
                  <c:v>6.8679821214433666E-3</c:v>
                </c:pt>
                <c:pt idx="9">
                  <c:v>8.179029876178575E-3</c:v>
                </c:pt>
                <c:pt idx="10">
                  <c:v>7.8869923484402582E-3</c:v>
                </c:pt>
                <c:pt idx="11">
                  <c:v>3.7671649046056629E-3</c:v>
                </c:pt>
                <c:pt idx="12">
                  <c:v>4.02060560371906E-3</c:v>
                </c:pt>
                <c:pt idx="13">
                  <c:v>4.8089420327527945E-3</c:v>
                </c:pt>
                <c:pt idx="14">
                  <c:v>4.7119009154550353E-3</c:v>
                </c:pt>
                <c:pt idx="15">
                  <c:v>2.9247910863509749E-3</c:v>
                </c:pt>
                <c:pt idx="16">
                  <c:v>3.625290023201856E-3</c:v>
                </c:pt>
                <c:pt idx="17">
                  <c:v>4.3760374226648555E-3</c:v>
                </c:pt>
                <c:pt idx="18">
                  <c:v>3.4848724853476952E-3</c:v>
                </c:pt>
                <c:pt idx="19">
                  <c:v>5.1121544079290558E-3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A7-4FAA-BBFC-B961E78396F7}"/>
            </c:ext>
          </c:extLst>
        </c:ser>
        <c:ser>
          <c:idx val="8"/>
          <c:order val="8"/>
          <c:tx>
            <c:strRef>
              <c:f>'App-Click Conversion by Rank'!$S$11</c:f>
              <c:strCache>
                <c:ptCount val="1"/>
                <c:pt idx="0">
                  <c:v>501+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'App-Click Conversion by Rank'!$S$12:$S$31</c:f>
              <c:numCache>
                <c:formatCode>0.0%</c:formatCode>
                <c:ptCount val="20"/>
                <c:pt idx="0">
                  <c:v>0.12719738824711199</c:v>
                </c:pt>
                <c:pt idx="1">
                  <c:v>7.5343344885123856E-2</c:v>
                </c:pt>
                <c:pt idx="2">
                  <c:v>4.4627885979620793E-2</c:v>
                </c:pt>
                <c:pt idx="3">
                  <c:v>3.6664084688871675E-2</c:v>
                </c:pt>
                <c:pt idx="4">
                  <c:v>2.0504113882721692E-2</c:v>
                </c:pt>
                <c:pt idx="5">
                  <c:v>2.4383744170552963E-2</c:v>
                </c:pt>
                <c:pt idx="6">
                  <c:v>1.4011208967173739E-2</c:v>
                </c:pt>
                <c:pt idx="7">
                  <c:v>1.0399562123700055E-2</c:v>
                </c:pt>
                <c:pt idx="8">
                  <c:v>6.6039061402276243E-3</c:v>
                </c:pt>
                <c:pt idx="9">
                  <c:v>7.1592210767468497E-3</c:v>
                </c:pt>
                <c:pt idx="10">
                  <c:v>7.0175438596491229E-3</c:v>
                </c:pt>
                <c:pt idx="11">
                  <c:v>4.3071439180157435E-3</c:v>
                </c:pt>
                <c:pt idx="12">
                  <c:v>3.8179596823457542E-3</c:v>
                </c:pt>
                <c:pt idx="13">
                  <c:v>3.5937500000000002E-3</c:v>
                </c:pt>
                <c:pt idx="14">
                  <c:v>3.3794657225619568E-3</c:v>
                </c:pt>
                <c:pt idx="15">
                  <c:v>3.5842293906810036E-3</c:v>
                </c:pt>
                <c:pt idx="16">
                  <c:v>2.660901380342591E-3</c:v>
                </c:pt>
                <c:pt idx="17">
                  <c:v>2.0408163265306124E-3</c:v>
                </c:pt>
                <c:pt idx="18">
                  <c:v>2.8030833917309038E-3</c:v>
                </c:pt>
                <c:pt idx="19">
                  <c:v>5.9893958237873931E-3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EA7-4FAA-BBFC-B961E7839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158128"/>
        <c:axId val="516159376"/>
      </c:lineChart>
      <c:catAx>
        <c:axId val="516158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59376"/>
        <c:crosses val="autoZero"/>
        <c:auto val="1"/>
        <c:lblAlgn val="ctr"/>
        <c:lblOffset val="100"/>
        <c:noMultiLvlLbl val="0"/>
      </c:catAx>
      <c:valAx>
        <c:axId val="51615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15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129267</xdr:colOff>
      <xdr:row>3</xdr:row>
      <xdr:rowOff>126999</xdr:rowOff>
    </xdr:from>
    <xdr:to>
      <xdr:col>32</xdr:col>
      <xdr:colOff>272143</xdr:colOff>
      <xdr:row>29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A81ADD-43F2-4663-B87B-C85EDA7BCE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7A5D-A585-4683-A0BC-E0B594A6A18D}">
  <dimension ref="B2:G19"/>
  <sheetViews>
    <sheetView tabSelected="1" zoomScale="90" zoomScaleNormal="90" workbookViewId="0">
      <selection activeCell="B18" sqref="B18"/>
    </sheetView>
  </sheetViews>
  <sheetFormatPr defaultRowHeight="14.25" x14ac:dyDescent="0.45"/>
  <cols>
    <col min="2" max="2" width="59.86328125" bestFit="1" customWidth="1"/>
    <col min="3" max="3" width="18.06640625" bestFit="1" customWidth="1"/>
    <col min="4" max="4" width="9.3984375" bestFit="1" customWidth="1"/>
    <col min="5" max="5" width="9.73046875" bestFit="1" customWidth="1"/>
    <col min="6" max="6" width="20.796875" bestFit="1" customWidth="1"/>
  </cols>
  <sheetData>
    <row r="2" spans="2:7" x14ac:dyDescent="0.45">
      <c r="B2" s="2" t="s">
        <v>22</v>
      </c>
    </row>
    <row r="3" spans="2:7" x14ac:dyDescent="0.45">
      <c r="B3" s="4" t="s">
        <v>23</v>
      </c>
    </row>
    <row r="11" spans="2:7" x14ac:dyDescent="0.45">
      <c r="B11" s="2" t="s">
        <v>15</v>
      </c>
      <c r="C11" s="2" t="s">
        <v>18</v>
      </c>
      <c r="D11" s="2" t="s">
        <v>16</v>
      </c>
      <c r="E11" s="2" t="s">
        <v>19</v>
      </c>
      <c r="F11" s="2" t="s">
        <v>17</v>
      </c>
    </row>
    <row r="12" spans="2:7" x14ac:dyDescent="0.45">
      <c r="B12" t="s">
        <v>24</v>
      </c>
      <c r="C12" s="3">
        <f>SUM(Baseline!I:I)/SUM(Baseline!C:C)</f>
        <v>14.02598992584301</v>
      </c>
      <c r="D12" s="3">
        <f>SUM(Baseline!G:G)</f>
        <v>413.68932030035518</v>
      </c>
      <c r="E12" s="1">
        <f>D12/$D$12</f>
        <v>1</v>
      </c>
      <c r="F12" s="3">
        <f>SUM(Baseline!H:H)/SUM(Baseline!G:G)</f>
        <v>7.6014949417745434</v>
      </c>
    </row>
    <row r="13" spans="2:7" x14ac:dyDescent="0.45">
      <c r="B13" t="s">
        <v>27</v>
      </c>
      <c r="C13" s="3">
        <f>SUM('Gamed Scenario 1'!I:I)/SUM('Gamed Scenario 1'!C:C)</f>
        <v>11.138344760039177</v>
      </c>
      <c r="D13" s="3">
        <f>SUM('Gamed Scenario 1'!G:G)</f>
        <v>560.07162094048488</v>
      </c>
      <c r="E13" s="1">
        <f>D13/$D$12</f>
        <v>1.353845974398977</v>
      </c>
      <c r="F13" s="3">
        <f>SUM('Gamed Scenario 1'!H:H)/SUM('Gamed Scenario 1'!G:G)</f>
        <v>5.5641058196065272</v>
      </c>
      <c r="G13" s="3"/>
    </row>
    <row r="14" spans="2:7" x14ac:dyDescent="0.45">
      <c r="B14" t="s">
        <v>28</v>
      </c>
      <c r="C14" s="3">
        <f>SUM('Gamed Scenario 2'!I:I)/SUM('Gamed Scenario 2'!C:C)</f>
        <v>8.9759689380159511</v>
      </c>
      <c r="D14" s="3">
        <f>SUM('Gamed Scenario 2'!G:G)</f>
        <v>622.34058811296597</v>
      </c>
      <c r="E14" s="1">
        <f>D14/$D$12</f>
        <v>1.5043670638176532</v>
      </c>
      <c r="F14" s="3">
        <f>SUM('Gamed Scenario 2'!H:H)/SUM('Gamed Scenario 2'!G:G)</f>
        <v>4.7247659636638701</v>
      </c>
    </row>
    <row r="15" spans="2:7" x14ac:dyDescent="0.45">
      <c r="B15" t="s">
        <v>29</v>
      </c>
      <c r="C15" s="3">
        <f>SUM('Gamed Scenario 3'!I:I)/SUM('Gamed Scenario 3'!C:C)</f>
        <v>8.4651602070798937</v>
      </c>
      <c r="D15" s="3">
        <f>SUM('Gamed Scenario 3'!G:G)</f>
        <v>615.15384559103779</v>
      </c>
      <c r="E15" s="1">
        <f t="shared" ref="E15:E17" si="0">D15/$D$12</f>
        <v>1.4869947455844672</v>
      </c>
      <c r="F15" s="3">
        <f>SUM('Gamed Scenario 3'!H:H)/SUM('Gamed Scenario 3'!G:G)</f>
        <v>4.8433128510407979</v>
      </c>
    </row>
    <row r="16" spans="2:7" x14ac:dyDescent="0.45">
      <c r="B16" t="s">
        <v>30</v>
      </c>
      <c r="C16" s="3" t="e">
        <f>SUM('Gamed Scenario 4'!I:I)/SUM('Gamed Scenario 4'!C:C)</f>
        <v>#DIV/0!</v>
      </c>
      <c r="D16" s="3" t="e">
        <f>SUM('Gamed Scenario 4'!G:G)</f>
        <v>#N/A</v>
      </c>
      <c r="E16" s="1" t="e">
        <f t="shared" si="0"/>
        <v>#N/A</v>
      </c>
      <c r="F16" s="3" t="e">
        <f>SUM('Gamed Scenario 4'!H:H)/SUM('Gamed Scenario 4'!G:G)</f>
        <v>#N/A</v>
      </c>
    </row>
    <row r="17" spans="2:6" x14ac:dyDescent="0.45">
      <c r="B17" t="s">
        <v>31</v>
      </c>
      <c r="C17" s="3" t="e">
        <f>SUM('Gamed Scenario 5'!I:I)/SUM('Gamed Scenario 5'!C:C)</f>
        <v>#DIV/0!</v>
      </c>
      <c r="D17" s="3" t="e">
        <f>SUM('Gamed Scenario 5'!G:G)</f>
        <v>#N/A</v>
      </c>
      <c r="E17" s="1" t="e">
        <f t="shared" si="0"/>
        <v>#N/A</v>
      </c>
      <c r="F17" s="3" t="e">
        <f>SUM('Gamed Scenario 5'!H:H)/SUM('Gamed Scenario 5'!G:G)</f>
        <v>#N/A</v>
      </c>
    </row>
    <row r="18" spans="2:6" x14ac:dyDescent="0.45">
      <c r="B18" s="8"/>
      <c r="C18" s="9"/>
      <c r="D18" s="8"/>
    </row>
    <row r="19" spans="2:6" x14ac:dyDescent="0.45">
      <c r="B19" s="8"/>
      <c r="C19" s="8"/>
      <c r="D19" s="8"/>
    </row>
  </sheetData>
  <phoneticPr fontId="4" type="noConversion"/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74E20-EA82-44CB-9D18-76DFD00D5698}">
  <dimension ref="A1:I351"/>
  <sheetViews>
    <sheetView workbookViewId="0">
      <selection activeCell="C1" sqref="C1:C1048576"/>
    </sheetView>
  </sheetViews>
  <sheetFormatPr defaultRowHeight="14.25" x14ac:dyDescent="0.45"/>
  <cols>
    <col min="2" max="2" width="11.6640625" bestFit="1" customWidth="1"/>
    <col min="4" max="4" width="13.19921875" bestFit="1" customWidth="1"/>
    <col min="5" max="5" width="13.19921875" customWidth="1"/>
    <col min="6" max="6" width="9.73046875" style="1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5</v>
      </c>
      <c r="B2">
        <v>350</v>
      </c>
      <c r="C2">
        <v>167</v>
      </c>
      <c r="D2">
        <f>IF(B2&lt;=150,"&lt;=150",IF(B2&gt;500,"501+",B2))</f>
        <v>350</v>
      </c>
      <c r="E2">
        <f>IF(A2&gt;=20,"20+",A2)</f>
        <v>5</v>
      </c>
      <c r="F2" s="1">
        <f>INDEX('App-Click Conversion by Rank'!$K$12:$S$31,MATCH(E2,'App-Click Conversion by Rank'!$J$12:$J$31,0),MATCH(D2,'App-Click Conversion by Rank'!$K$11:$S$11,0))</f>
        <v>3.7553141237600375E-2</v>
      </c>
      <c r="G2" s="3">
        <f t="shared" ref="G2:G33" si="0">C2*F2</f>
        <v>6.2713745866792623</v>
      </c>
      <c r="H2" s="5">
        <f t="shared" ref="H2:H33" si="1">G2*A2</f>
        <v>31.356872933396311</v>
      </c>
      <c r="I2">
        <f>C2*A2</f>
        <v>835</v>
      </c>
    </row>
    <row r="3" spans="1:9" x14ac:dyDescent="0.45">
      <c r="A3">
        <v>3</v>
      </c>
      <c r="B3">
        <v>400</v>
      </c>
      <c r="C3">
        <v>227</v>
      </c>
      <c r="D3">
        <f t="shared" ref="D3:D66" si="2">IF(B3&lt;=150,"&lt;=150",IF(B3&gt;500,"501+",B3))</f>
        <v>400</v>
      </c>
      <c r="E3">
        <f t="shared" ref="E3:E66" si="3">IF(A3&gt;=20,"20+",A3)</f>
        <v>3</v>
      </c>
      <c r="F3" s="1">
        <f>INDEX('App-Click Conversion by Rank'!$K$12:$S$31,MATCH(E3,'App-Click Conversion by Rank'!$J$12:$J$31,0),MATCH(D3,'App-Click Conversion by Rank'!$K$11:$S$11,0))</f>
        <v>5.9630292188431723E-2</v>
      </c>
      <c r="G3" s="3">
        <f t="shared" si="0"/>
        <v>13.536076326774001</v>
      </c>
      <c r="H3" s="5">
        <f t="shared" si="1"/>
        <v>40.608228980322004</v>
      </c>
      <c r="I3">
        <f t="shared" ref="I3:I33" si="4">C3*A3</f>
        <v>681</v>
      </c>
    </row>
    <row r="4" spans="1:9" x14ac:dyDescent="0.45">
      <c r="A4">
        <v>20</v>
      </c>
      <c r="B4">
        <v>500</v>
      </c>
      <c r="C4">
        <v>267</v>
      </c>
      <c r="D4">
        <f t="shared" si="2"/>
        <v>500</v>
      </c>
      <c r="E4" t="str">
        <f t="shared" si="3"/>
        <v>20+</v>
      </c>
      <c r="F4" s="1">
        <f>INDEX('App-Click Conversion by Rank'!$K$12:$S$31,MATCH(E4,'App-Click Conversion by Rank'!$J$12:$J$31,0),MATCH(D4,'App-Click Conversion by Rank'!$K$11:$S$11,0))</f>
        <v>5.1121544079290558E-3</v>
      </c>
      <c r="G4" s="3">
        <f t="shared" si="0"/>
        <v>1.3649452269170579</v>
      </c>
      <c r="H4" s="5">
        <f t="shared" si="1"/>
        <v>27.298904538341159</v>
      </c>
      <c r="I4">
        <f t="shared" si="4"/>
        <v>5340</v>
      </c>
    </row>
    <row r="5" spans="1:9" x14ac:dyDescent="0.45">
      <c r="A5">
        <v>2</v>
      </c>
      <c r="B5">
        <v>500</v>
      </c>
      <c r="C5">
        <v>49</v>
      </c>
      <c r="D5">
        <f t="shared" si="2"/>
        <v>500</v>
      </c>
      <c r="E5">
        <f t="shared" si="3"/>
        <v>2</v>
      </c>
      <c r="F5" s="1">
        <f>INDEX('App-Click Conversion by Rank'!$K$12:$S$31,MATCH(E5,'App-Click Conversion by Rank'!$J$12:$J$31,0),MATCH(D5,'App-Click Conversion by Rank'!$K$11:$S$11,0))</f>
        <v>7.0611908899661568E-2</v>
      </c>
      <c r="G5" s="3">
        <f t="shared" si="0"/>
        <v>3.459983536083417</v>
      </c>
      <c r="H5" s="5">
        <f t="shared" si="1"/>
        <v>6.919967072166834</v>
      </c>
      <c r="I5">
        <f t="shared" si="4"/>
        <v>98</v>
      </c>
    </row>
    <row r="6" spans="1:9" x14ac:dyDescent="0.45">
      <c r="A6">
        <v>10</v>
      </c>
      <c r="B6">
        <v>400</v>
      </c>
      <c r="C6">
        <v>269</v>
      </c>
      <c r="D6">
        <f t="shared" si="2"/>
        <v>400</v>
      </c>
      <c r="E6">
        <f t="shared" si="3"/>
        <v>10</v>
      </c>
      <c r="F6" s="1">
        <f>INDEX('App-Click Conversion by Rank'!$K$12:$S$31,MATCH(E6,'App-Click Conversion by Rank'!$J$12:$J$31,0),MATCH(D6,'App-Click Conversion by Rank'!$K$11:$S$11,0))</f>
        <v>9.4051257935574891E-3</v>
      </c>
      <c r="G6" s="3">
        <f t="shared" si="0"/>
        <v>2.5299788384669646</v>
      </c>
      <c r="H6" s="5">
        <f t="shared" si="1"/>
        <v>25.299788384669647</v>
      </c>
      <c r="I6">
        <f t="shared" si="4"/>
        <v>2690</v>
      </c>
    </row>
    <row r="7" spans="1:9" x14ac:dyDescent="0.45">
      <c r="A7">
        <v>9</v>
      </c>
      <c r="B7">
        <v>450</v>
      </c>
      <c r="C7">
        <v>332</v>
      </c>
      <c r="D7">
        <f t="shared" si="2"/>
        <v>450</v>
      </c>
      <c r="E7">
        <f t="shared" si="3"/>
        <v>9</v>
      </c>
      <c r="F7" s="1">
        <f>INDEX('App-Click Conversion by Rank'!$K$12:$S$31,MATCH(E7,'App-Click Conversion by Rank'!$J$12:$J$31,0),MATCH(D7,'App-Click Conversion by Rank'!$K$11:$S$11,0))</f>
        <v>7.0911722141823444E-3</v>
      </c>
      <c r="G7" s="3">
        <f t="shared" si="0"/>
        <v>2.3542691751085383</v>
      </c>
      <c r="H7" s="5">
        <f t="shared" si="1"/>
        <v>21.188422575976844</v>
      </c>
      <c r="I7">
        <f t="shared" si="4"/>
        <v>2988</v>
      </c>
    </row>
    <row r="8" spans="1:9" x14ac:dyDescent="0.45">
      <c r="A8">
        <v>20</v>
      </c>
      <c r="B8">
        <v>300</v>
      </c>
      <c r="C8">
        <v>2</v>
      </c>
      <c r="D8">
        <f t="shared" si="2"/>
        <v>300</v>
      </c>
      <c r="E8" t="str">
        <f t="shared" si="3"/>
        <v>20+</v>
      </c>
      <c r="F8" s="1">
        <f>INDEX('App-Click Conversion by Rank'!$K$12:$S$31,MATCH(E8,'App-Click Conversion by Rank'!$J$12:$J$31,0),MATCH(D8,'App-Click Conversion by Rank'!$K$11:$S$11,0))</f>
        <v>4.5385779122541605E-3</v>
      </c>
      <c r="G8" s="3">
        <f t="shared" si="0"/>
        <v>9.0771558245083209E-3</v>
      </c>
      <c r="H8" s="5">
        <f t="shared" si="1"/>
        <v>0.18154311649016641</v>
      </c>
      <c r="I8">
        <f t="shared" si="4"/>
        <v>40</v>
      </c>
    </row>
    <row r="9" spans="1:9" x14ac:dyDescent="0.45">
      <c r="A9">
        <v>9</v>
      </c>
      <c r="B9">
        <v>550</v>
      </c>
      <c r="C9">
        <v>145</v>
      </c>
      <c r="D9" t="str">
        <f t="shared" si="2"/>
        <v>501+</v>
      </c>
      <c r="E9">
        <f t="shared" si="3"/>
        <v>9</v>
      </c>
      <c r="F9" s="1">
        <f>INDEX('App-Click Conversion by Rank'!$K$12:$S$31,MATCH(E9,'App-Click Conversion by Rank'!$J$12:$J$31,0),MATCH(D9,'App-Click Conversion by Rank'!$K$11:$S$11,0))</f>
        <v>6.6039061402276243E-3</v>
      </c>
      <c r="G9" s="3">
        <f t="shared" si="0"/>
        <v>0.9575663903330055</v>
      </c>
      <c r="H9" s="5">
        <f t="shared" si="1"/>
        <v>8.6180975129970498</v>
      </c>
      <c r="I9">
        <f t="shared" si="4"/>
        <v>1305</v>
      </c>
    </row>
    <row r="10" spans="1:9" x14ac:dyDescent="0.45">
      <c r="A10">
        <v>36</v>
      </c>
      <c r="B10">
        <v>550</v>
      </c>
      <c r="C10">
        <v>61</v>
      </c>
      <c r="D10" t="str">
        <f t="shared" si="2"/>
        <v>501+</v>
      </c>
      <c r="E10" t="str">
        <f t="shared" si="3"/>
        <v>20+</v>
      </c>
      <c r="F10" s="1">
        <f>INDEX('App-Click Conversion by Rank'!$K$12:$S$31,MATCH(E10,'App-Click Conversion by Rank'!$J$12:$J$31,0),MATCH(D10,'App-Click Conversion by Rank'!$K$11:$S$11,0))</f>
        <v>5.9893958237873931E-3</v>
      </c>
      <c r="G10" s="3">
        <f t="shared" si="0"/>
        <v>0.36535314525103096</v>
      </c>
      <c r="H10" s="5">
        <f t="shared" si="1"/>
        <v>13.152713229037115</v>
      </c>
      <c r="I10">
        <f t="shared" si="4"/>
        <v>2196</v>
      </c>
    </row>
    <row r="11" spans="1:9" x14ac:dyDescent="0.45">
      <c r="A11">
        <v>4</v>
      </c>
      <c r="B11">
        <v>550</v>
      </c>
      <c r="C11">
        <v>66</v>
      </c>
      <c r="D11" t="str">
        <f t="shared" si="2"/>
        <v>501+</v>
      </c>
      <c r="E11">
        <f t="shared" si="3"/>
        <v>4</v>
      </c>
      <c r="F11" s="1">
        <f>INDEX('App-Click Conversion by Rank'!$K$12:$S$31,MATCH(E11,'App-Click Conversion by Rank'!$J$12:$J$31,0),MATCH(D11,'App-Click Conversion by Rank'!$K$11:$S$11,0))</f>
        <v>3.6664084688871675E-2</v>
      </c>
      <c r="G11" s="3">
        <f t="shared" si="0"/>
        <v>2.4198295894655306</v>
      </c>
      <c r="H11" s="5">
        <f t="shared" si="1"/>
        <v>9.6793183578621225</v>
      </c>
      <c r="I11">
        <f t="shared" si="4"/>
        <v>264</v>
      </c>
    </row>
    <row r="12" spans="1:9" x14ac:dyDescent="0.45">
      <c r="A12">
        <v>33</v>
      </c>
      <c r="B12">
        <v>550</v>
      </c>
      <c r="C12">
        <v>65</v>
      </c>
      <c r="D12" t="str">
        <f t="shared" si="2"/>
        <v>501+</v>
      </c>
      <c r="E12" t="str">
        <f t="shared" si="3"/>
        <v>20+</v>
      </c>
      <c r="F12" s="1">
        <f>INDEX('App-Click Conversion by Rank'!$K$12:$S$31,MATCH(E12,'App-Click Conversion by Rank'!$J$12:$J$31,0),MATCH(D12,'App-Click Conversion by Rank'!$K$11:$S$11,0))</f>
        <v>5.9893958237873931E-3</v>
      </c>
      <c r="G12" s="3">
        <f t="shared" si="0"/>
        <v>0.38931072854618054</v>
      </c>
      <c r="H12" s="5">
        <f t="shared" si="1"/>
        <v>12.847254042023957</v>
      </c>
      <c r="I12">
        <f t="shared" si="4"/>
        <v>2145</v>
      </c>
    </row>
    <row r="13" spans="1:9" x14ac:dyDescent="0.45">
      <c r="A13">
        <v>16</v>
      </c>
      <c r="B13">
        <v>600</v>
      </c>
      <c r="C13">
        <v>20</v>
      </c>
      <c r="D13" t="str">
        <f t="shared" si="2"/>
        <v>501+</v>
      </c>
      <c r="E13">
        <f t="shared" si="3"/>
        <v>16</v>
      </c>
      <c r="F13" s="1">
        <f>INDEX('App-Click Conversion by Rank'!$K$12:$S$31,MATCH(E13,'App-Click Conversion by Rank'!$J$12:$J$31,0),MATCH(D13,'App-Click Conversion by Rank'!$K$11:$S$11,0))</f>
        <v>3.5842293906810036E-3</v>
      </c>
      <c r="G13" s="3">
        <f t="shared" si="0"/>
        <v>7.1684587813620068E-2</v>
      </c>
      <c r="H13" s="5">
        <f t="shared" si="1"/>
        <v>1.1469534050179211</v>
      </c>
      <c r="I13">
        <f t="shared" si="4"/>
        <v>320</v>
      </c>
    </row>
    <row r="14" spans="1:9" x14ac:dyDescent="0.45">
      <c r="A14">
        <v>1</v>
      </c>
      <c r="B14">
        <v>350</v>
      </c>
      <c r="C14">
        <v>28</v>
      </c>
      <c r="D14">
        <f t="shared" si="2"/>
        <v>350</v>
      </c>
      <c r="E14">
        <f t="shared" si="3"/>
        <v>1</v>
      </c>
      <c r="F14" s="1">
        <f>INDEX('App-Click Conversion by Rank'!$K$12:$S$31,MATCH(E14,'App-Click Conversion by Rank'!$J$12:$J$31,0),MATCH(D14,'App-Click Conversion by Rank'!$K$11:$S$11,0))</f>
        <v>0.22531939605110338</v>
      </c>
      <c r="G14" s="3">
        <f t="shared" si="0"/>
        <v>6.3089430894308949</v>
      </c>
      <c r="H14" s="5">
        <f t="shared" si="1"/>
        <v>6.3089430894308949</v>
      </c>
      <c r="I14">
        <f t="shared" si="4"/>
        <v>28</v>
      </c>
    </row>
    <row r="15" spans="1:9" x14ac:dyDescent="0.45">
      <c r="A15">
        <v>33</v>
      </c>
      <c r="B15">
        <v>650</v>
      </c>
      <c r="C15">
        <v>9</v>
      </c>
      <c r="D15" t="str">
        <f t="shared" si="2"/>
        <v>501+</v>
      </c>
      <c r="E15" t="str">
        <f t="shared" si="3"/>
        <v>20+</v>
      </c>
      <c r="F15" s="1">
        <f>INDEX('App-Click Conversion by Rank'!$K$12:$S$31,MATCH(E15,'App-Click Conversion by Rank'!$J$12:$J$31,0),MATCH(D15,'App-Click Conversion by Rank'!$K$11:$S$11,0))</f>
        <v>5.9893958237873931E-3</v>
      </c>
      <c r="G15" s="3">
        <f t="shared" si="0"/>
        <v>5.3904562414086539E-2</v>
      </c>
      <c r="H15" s="5">
        <f t="shared" si="1"/>
        <v>1.7788505596648558</v>
      </c>
      <c r="I15">
        <f t="shared" si="4"/>
        <v>297</v>
      </c>
    </row>
    <row r="16" spans="1:9" x14ac:dyDescent="0.45">
      <c r="A16">
        <v>28</v>
      </c>
      <c r="B16">
        <v>600</v>
      </c>
      <c r="C16">
        <v>34</v>
      </c>
      <c r="D16" t="str">
        <f t="shared" si="2"/>
        <v>501+</v>
      </c>
      <c r="E16" t="str">
        <f t="shared" si="3"/>
        <v>20+</v>
      </c>
      <c r="F16" s="1">
        <f>INDEX('App-Click Conversion by Rank'!$K$12:$S$31,MATCH(E16,'App-Click Conversion by Rank'!$J$12:$J$31,0),MATCH(D16,'App-Click Conversion by Rank'!$K$11:$S$11,0))</f>
        <v>5.9893958237873931E-3</v>
      </c>
      <c r="G16" s="3">
        <f t="shared" si="0"/>
        <v>0.20363945800877137</v>
      </c>
      <c r="H16" s="5">
        <f t="shared" si="1"/>
        <v>5.7019048242455987</v>
      </c>
      <c r="I16">
        <f t="shared" si="4"/>
        <v>952</v>
      </c>
    </row>
    <row r="17" spans="1:9" x14ac:dyDescent="0.45">
      <c r="A17">
        <v>11</v>
      </c>
      <c r="B17">
        <v>600</v>
      </c>
      <c r="C17">
        <v>16</v>
      </c>
      <c r="D17" t="str">
        <f t="shared" si="2"/>
        <v>501+</v>
      </c>
      <c r="E17">
        <f t="shared" si="3"/>
        <v>11</v>
      </c>
      <c r="F17" s="1">
        <f>INDEX('App-Click Conversion by Rank'!$K$12:$S$31,MATCH(E17,'App-Click Conversion by Rank'!$J$12:$J$31,0),MATCH(D17,'App-Click Conversion by Rank'!$K$11:$S$11,0))</f>
        <v>7.0175438596491229E-3</v>
      </c>
      <c r="G17" s="3">
        <f t="shared" si="0"/>
        <v>0.11228070175438597</v>
      </c>
      <c r="H17" s="5">
        <f t="shared" si="1"/>
        <v>1.2350877192982457</v>
      </c>
      <c r="I17">
        <f t="shared" si="4"/>
        <v>176</v>
      </c>
    </row>
    <row r="18" spans="1:9" x14ac:dyDescent="0.45">
      <c r="A18">
        <v>25</v>
      </c>
      <c r="B18">
        <v>400</v>
      </c>
      <c r="C18">
        <v>16</v>
      </c>
      <c r="D18">
        <f t="shared" si="2"/>
        <v>400</v>
      </c>
      <c r="E18" t="str">
        <f t="shared" si="3"/>
        <v>20+</v>
      </c>
      <c r="F18" s="1">
        <f>INDEX('App-Click Conversion by Rank'!$K$12:$S$31,MATCH(E18,'App-Click Conversion by Rank'!$J$12:$J$31,0),MATCH(D18,'App-Click Conversion by Rank'!$K$11:$S$11,0))</f>
        <v>6.4196625091709463E-3</v>
      </c>
      <c r="G18" s="3">
        <f t="shared" si="0"/>
        <v>0.10271460014673514</v>
      </c>
      <c r="H18" s="5">
        <f t="shared" si="1"/>
        <v>2.5678650036683783</v>
      </c>
      <c r="I18">
        <f t="shared" si="4"/>
        <v>400</v>
      </c>
    </row>
    <row r="19" spans="1:9" x14ac:dyDescent="0.45">
      <c r="A19">
        <v>36</v>
      </c>
      <c r="B19">
        <v>650</v>
      </c>
      <c r="C19">
        <v>1</v>
      </c>
      <c r="D19" t="str">
        <f t="shared" si="2"/>
        <v>501+</v>
      </c>
      <c r="E19" t="str">
        <f t="shared" si="3"/>
        <v>20+</v>
      </c>
      <c r="F19" s="1">
        <f>INDEX('App-Click Conversion by Rank'!$K$12:$S$31,MATCH(E19,'App-Click Conversion by Rank'!$J$12:$J$31,0),MATCH(D19,'App-Click Conversion by Rank'!$K$11:$S$11,0))</f>
        <v>5.9893958237873931E-3</v>
      </c>
      <c r="G19" s="3">
        <f t="shared" si="0"/>
        <v>5.9893958237873931E-3</v>
      </c>
      <c r="H19" s="5">
        <f t="shared" si="1"/>
        <v>0.21561824965634616</v>
      </c>
      <c r="I19">
        <f t="shared" si="4"/>
        <v>36</v>
      </c>
    </row>
    <row r="20" spans="1:9" x14ac:dyDescent="0.45">
      <c r="A20">
        <v>9</v>
      </c>
      <c r="B20">
        <v>150</v>
      </c>
      <c r="C20">
        <v>10</v>
      </c>
      <c r="D20" t="str">
        <f t="shared" si="2"/>
        <v>&lt;=150</v>
      </c>
      <c r="E20">
        <f t="shared" si="3"/>
        <v>9</v>
      </c>
      <c r="F20" s="1">
        <f>INDEX('App-Click Conversion by Rank'!$K$12:$S$31,MATCH(E20,'App-Click Conversion by Rank'!$J$12:$J$31,0),MATCH(D20,'App-Click Conversion by Rank'!$K$11:$S$11,0))</f>
        <v>0</v>
      </c>
      <c r="G20" s="3">
        <f t="shared" si="0"/>
        <v>0</v>
      </c>
      <c r="H20" s="5">
        <f t="shared" si="1"/>
        <v>0</v>
      </c>
      <c r="I20">
        <f t="shared" si="4"/>
        <v>90</v>
      </c>
    </row>
    <row r="21" spans="1:9" x14ac:dyDescent="0.45">
      <c r="A21">
        <v>33</v>
      </c>
      <c r="B21">
        <v>450</v>
      </c>
      <c r="C21">
        <v>7</v>
      </c>
      <c r="D21">
        <f t="shared" si="2"/>
        <v>450</v>
      </c>
      <c r="E21" t="str">
        <f t="shared" si="3"/>
        <v>20+</v>
      </c>
      <c r="F21" s="1">
        <f>INDEX('App-Click Conversion by Rank'!$K$12:$S$31,MATCH(E21,'App-Click Conversion by Rank'!$J$12:$J$31,0),MATCH(D21,'App-Click Conversion by Rank'!$K$11:$S$11,0))</f>
        <v>5.6022408963585435E-3</v>
      </c>
      <c r="G21" s="3">
        <f t="shared" si="0"/>
        <v>3.9215686274509803E-2</v>
      </c>
      <c r="H21" s="5">
        <f t="shared" si="1"/>
        <v>1.2941176470588236</v>
      </c>
      <c r="I21">
        <f t="shared" si="4"/>
        <v>231</v>
      </c>
    </row>
    <row r="22" spans="1:9" x14ac:dyDescent="0.45">
      <c r="A22">
        <v>28</v>
      </c>
      <c r="B22">
        <v>350</v>
      </c>
      <c r="C22">
        <v>2</v>
      </c>
      <c r="D22">
        <f t="shared" si="2"/>
        <v>350</v>
      </c>
      <c r="E22" t="str">
        <f t="shared" si="3"/>
        <v>20+</v>
      </c>
      <c r="F22" s="1">
        <f>INDEX('App-Click Conversion by Rank'!$K$12:$S$31,MATCH(E22,'App-Click Conversion by Rank'!$J$12:$J$31,0),MATCH(D22,'App-Click Conversion by Rank'!$K$11:$S$11,0))</f>
        <v>4.1279669762641896E-3</v>
      </c>
      <c r="G22" s="3">
        <f t="shared" si="0"/>
        <v>8.2559339525283791E-3</v>
      </c>
      <c r="H22" s="5">
        <f t="shared" si="1"/>
        <v>0.2311661506707946</v>
      </c>
      <c r="I22">
        <f t="shared" si="4"/>
        <v>56</v>
      </c>
    </row>
    <row r="23" spans="1:9" x14ac:dyDescent="0.45">
      <c r="A23">
        <v>1</v>
      </c>
      <c r="B23">
        <v>150</v>
      </c>
      <c r="C23">
        <v>1</v>
      </c>
      <c r="D23" t="str">
        <f t="shared" si="2"/>
        <v>&lt;=150</v>
      </c>
      <c r="E23">
        <f t="shared" si="3"/>
        <v>1</v>
      </c>
      <c r="F23" s="1">
        <f>INDEX('App-Click Conversion by Rank'!$K$12:$S$31,MATCH(E23,'App-Click Conversion by Rank'!$J$12:$J$31,0),MATCH(D23,'App-Click Conversion by Rank'!$K$11:$S$11,0))</f>
        <v>0.37077294685990336</v>
      </c>
      <c r="G23" s="3">
        <f t="shared" si="0"/>
        <v>0.37077294685990336</v>
      </c>
      <c r="H23" s="5">
        <f t="shared" si="1"/>
        <v>0.37077294685990336</v>
      </c>
      <c r="I23">
        <f t="shared" si="4"/>
        <v>1</v>
      </c>
    </row>
    <row r="24" spans="1:9" x14ac:dyDescent="0.45">
      <c r="A24">
        <v>34</v>
      </c>
      <c r="B24">
        <v>650</v>
      </c>
      <c r="C24">
        <v>1</v>
      </c>
      <c r="D24" t="str">
        <f t="shared" si="2"/>
        <v>501+</v>
      </c>
      <c r="E24" t="str">
        <f t="shared" si="3"/>
        <v>20+</v>
      </c>
      <c r="F24" s="1">
        <f>INDEX('App-Click Conversion by Rank'!$K$12:$S$31,MATCH(E24,'App-Click Conversion by Rank'!$J$12:$J$31,0),MATCH(D24,'App-Click Conversion by Rank'!$K$11:$S$11,0))</f>
        <v>5.9893958237873931E-3</v>
      </c>
      <c r="G24" s="3">
        <f t="shared" si="0"/>
        <v>5.9893958237873931E-3</v>
      </c>
      <c r="H24" s="5">
        <f t="shared" si="1"/>
        <v>0.20363945800877137</v>
      </c>
      <c r="I24">
        <f t="shared" si="4"/>
        <v>34</v>
      </c>
    </row>
    <row r="25" spans="1:9" x14ac:dyDescent="0.45">
      <c r="A25">
        <v>10</v>
      </c>
      <c r="B25">
        <v>500</v>
      </c>
      <c r="C25">
        <v>709</v>
      </c>
      <c r="D25">
        <f t="shared" si="2"/>
        <v>500</v>
      </c>
      <c r="E25">
        <f t="shared" si="3"/>
        <v>10</v>
      </c>
      <c r="F25" s="1">
        <f>INDEX('App-Click Conversion by Rank'!$K$12:$S$31,MATCH(E25,'App-Click Conversion by Rank'!$J$12:$J$31,0),MATCH(D25,'App-Click Conversion by Rank'!$K$11:$S$11,0))</f>
        <v>8.179029876178575E-3</v>
      </c>
      <c r="G25" s="3">
        <f t="shared" si="0"/>
        <v>5.7989321822106099</v>
      </c>
      <c r="H25" s="5">
        <f t="shared" si="1"/>
        <v>57.989321822106099</v>
      </c>
      <c r="I25">
        <f t="shared" si="4"/>
        <v>7090</v>
      </c>
    </row>
    <row r="26" spans="1:9" x14ac:dyDescent="0.45">
      <c r="A26">
        <v>11</v>
      </c>
      <c r="B26">
        <v>400</v>
      </c>
      <c r="C26">
        <v>200</v>
      </c>
      <c r="D26">
        <f t="shared" si="2"/>
        <v>400</v>
      </c>
      <c r="E26">
        <f t="shared" si="3"/>
        <v>11</v>
      </c>
      <c r="F26" s="1">
        <f>INDEX('App-Click Conversion by Rank'!$K$12:$S$31,MATCH(E26,'App-Click Conversion by Rank'!$J$12:$J$31,0),MATCH(D26,'App-Click Conversion by Rank'!$K$11:$S$11,0))</f>
        <v>8.6912065439672809E-3</v>
      </c>
      <c r="G26" s="3">
        <f t="shared" si="0"/>
        <v>1.7382413087934561</v>
      </c>
      <c r="H26" s="5">
        <f t="shared" si="1"/>
        <v>19.120654396728018</v>
      </c>
      <c r="I26">
        <f t="shared" si="4"/>
        <v>2200</v>
      </c>
    </row>
    <row r="27" spans="1:9" x14ac:dyDescent="0.45">
      <c r="A27">
        <v>10</v>
      </c>
      <c r="B27">
        <v>450</v>
      </c>
      <c r="C27">
        <v>385</v>
      </c>
      <c r="D27">
        <f t="shared" si="2"/>
        <v>450</v>
      </c>
      <c r="E27">
        <f t="shared" si="3"/>
        <v>10</v>
      </c>
      <c r="F27" s="1">
        <f>INDEX('App-Click Conversion by Rank'!$K$12:$S$31,MATCH(E27,'App-Click Conversion by Rank'!$J$12:$J$31,0),MATCH(D27,'App-Click Conversion by Rank'!$K$11:$S$11,0))</f>
        <v>8.6499845535990116E-3</v>
      </c>
      <c r="G27" s="3">
        <f t="shared" si="0"/>
        <v>3.3302440531356194</v>
      </c>
      <c r="H27" s="5">
        <f t="shared" si="1"/>
        <v>33.302440531356197</v>
      </c>
      <c r="I27">
        <f t="shared" si="4"/>
        <v>3850</v>
      </c>
    </row>
    <row r="28" spans="1:9" x14ac:dyDescent="0.45">
      <c r="A28">
        <v>10</v>
      </c>
      <c r="B28">
        <v>300</v>
      </c>
      <c r="C28">
        <v>52</v>
      </c>
      <c r="D28">
        <f t="shared" si="2"/>
        <v>300</v>
      </c>
      <c r="E28">
        <f t="shared" si="3"/>
        <v>10</v>
      </c>
      <c r="F28" s="1">
        <f>INDEX('App-Click Conversion by Rank'!$K$12:$S$31,MATCH(E28,'App-Click Conversion by Rank'!$J$12:$J$31,0),MATCH(D28,'App-Click Conversion by Rank'!$K$11:$S$11,0))</f>
        <v>1.560758082497213E-2</v>
      </c>
      <c r="G28" s="3">
        <f t="shared" si="0"/>
        <v>0.81159420289855078</v>
      </c>
      <c r="H28" s="5">
        <f t="shared" si="1"/>
        <v>8.1159420289855078</v>
      </c>
      <c r="I28">
        <f t="shared" si="4"/>
        <v>520</v>
      </c>
    </row>
    <row r="29" spans="1:9" x14ac:dyDescent="0.45">
      <c r="A29">
        <v>32</v>
      </c>
      <c r="B29">
        <v>550</v>
      </c>
      <c r="C29">
        <v>90</v>
      </c>
      <c r="D29" t="str">
        <f t="shared" si="2"/>
        <v>501+</v>
      </c>
      <c r="E29" t="str">
        <f t="shared" si="3"/>
        <v>20+</v>
      </c>
      <c r="F29" s="1">
        <f>INDEX('App-Click Conversion by Rank'!$K$12:$S$31,MATCH(E29,'App-Click Conversion by Rank'!$J$12:$J$31,0),MATCH(D29,'App-Click Conversion by Rank'!$K$11:$S$11,0))</f>
        <v>5.9893958237873931E-3</v>
      </c>
      <c r="G29" s="3">
        <f t="shared" si="0"/>
        <v>0.53904562414086543</v>
      </c>
      <c r="H29" s="5">
        <f t="shared" si="1"/>
        <v>17.249459972507694</v>
      </c>
      <c r="I29">
        <f t="shared" si="4"/>
        <v>2880</v>
      </c>
    </row>
    <row r="30" spans="1:9" x14ac:dyDescent="0.45">
      <c r="A30">
        <v>34</v>
      </c>
      <c r="B30">
        <v>500</v>
      </c>
      <c r="C30">
        <v>33</v>
      </c>
      <c r="D30">
        <f t="shared" si="2"/>
        <v>500</v>
      </c>
      <c r="E30" t="str">
        <f t="shared" si="3"/>
        <v>20+</v>
      </c>
      <c r="F30" s="1">
        <f>INDEX('App-Click Conversion by Rank'!$K$12:$S$31,MATCH(E30,'App-Click Conversion by Rank'!$J$12:$J$31,0),MATCH(D30,'App-Click Conversion by Rank'!$K$11:$S$11,0))</f>
        <v>5.1121544079290558E-3</v>
      </c>
      <c r="G30" s="3">
        <f t="shared" si="0"/>
        <v>0.16870109546165885</v>
      </c>
      <c r="H30" s="5">
        <f t="shared" si="1"/>
        <v>5.7358372456964011</v>
      </c>
      <c r="I30">
        <f t="shared" si="4"/>
        <v>1122</v>
      </c>
    </row>
    <row r="31" spans="1:9" x14ac:dyDescent="0.45">
      <c r="A31">
        <v>6</v>
      </c>
      <c r="B31">
        <v>600</v>
      </c>
      <c r="C31">
        <v>12</v>
      </c>
      <c r="D31" t="str">
        <f t="shared" si="2"/>
        <v>501+</v>
      </c>
      <c r="E31">
        <f t="shared" si="3"/>
        <v>6</v>
      </c>
      <c r="F31" s="1">
        <f>INDEX('App-Click Conversion by Rank'!$K$12:$S$31,MATCH(E31,'App-Click Conversion by Rank'!$J$12:$J$31,0),MATCH(D31,'App-Click Conversion by Rank'!$K$11:$S$11,0))</f>
        <v>2.4383744170552963E-2</v>
      </c>
      <c r="G31" s="3">
        <f t="shared" si="0"/>
        <v>0.29260493004663557</v>
      </c>
      <c r="H31" s="5">
        <f t="shared" si="1"/>
        <v>1.7556295802798134</v>
      </c>
      <c r="I31">
        <f t="shared" si="4"/>
        <v>72</v>
      </c>
    </row>
    <row r="32" spans="1:9" x14ac:dyDescent="0.45">
      <c r="A32">
        <v>17</v>
      </c>
      <c r="B32">
        <v>550</v>
      </c>
      <c r="C32">
        <v>180</v>
      </c>
      <c r="D32" t="str">
        <f t="shared" si="2"/>
        <v>501+</v>
      </c>
      <c r="E32">
        <f t="shared" si="3"/>
        <v>17</v>
      </c>
      <c r="F32" s="1">
        <f>INDEX('App-Click Conversion by Rank'!$K$12:$S$31,MATCH(E32,'App-Click Conversion by Rank'!$J$12:$J$31,0),MATCH(D32,'App-Click Conversion by Rank'!$K$11:$S$11,0))</f>
        <v>2.660901380342591E-3</v>
      </c>
      <c r="G32" s="3">
        <f t="shared" si="0"/>
        <v>0.47896224846166635</v>
      </c>
      <c r="H32" s="5">
        <f t="shared" si="1"/>
        <v>8.1423582238483281</v>
      </c>
      <c r="I32">
        <f t="shared" si="4"/>
        <v>3060</v>
      </c>
    </row>
    <row r="33" spans="1:9" x14ac:dyDescent="0.45">
      <c r="A33">
        <v>27</v>
      </c>
      <c r="B33">
        <v>550</v>
      </c>
      <c r="C33">
        <v>191</v>
      </c>
      <c r="D33" t="str">
        <f t="shared" si="2"/>
        <v>501+</v>
      </c>
      <c r="E33" t="str">
        <f t="shared" si="3"/>
        <v>20+</v>
      </c>
      <c r="F33" s="1">
        <f>INDEX('App-Click Conversion by Rank'!$K$12:$S$31,MATCH(E33,'App-Click Conversion by Rank'!$J$12:$J$31,0),MATCH(D33,'App-Click Conversion by Rank'!$K$11:$S$11,0))</f>
        <v>5.9893958237873931E-3</v>
      </c>
      <c r="G33" s="3">
        <f t="shared" si="0"/>
        <v>1.1439746023433921</v>
      </c>
      <c r="H33" s="5">
        <f t="shared" si="1"/>
        <v>30.887314263271588</v>
      </c>
      <c r="I33">
        <f t="shared" si="4"/>
        <v>5157</v>
      </c>
    </row>
    <row r="34" spans="1:9" x14ac:dyDescent="0.45">
      <c r="A34">
        <v>2</v>
      </c>
      <c r="B34">
        <v>600</v>
      </c>
      <c r="C34">
        <v>1</v>
      </c>
      <c r="D34" t="str">
        <f t="shared" si="2"/>
        <v>501+</v>
      </c>
      <c r="E34">
        <f t="shared" si="3"/>
        <v>2</v>
      </c>
      <c r="F34" s="1">
        <f>INDEX('App-Click Conversion by Rank'!$K$12:$S$31,MATCH(E34,'App-Click Conversion by Rank'!$J$12:$J$31,0),MATCH(D34,'App-Click Conversion by Rank'!$K$11:$S$11,0))</f>
        <v>7.5343344885123856E-2</v>
      </c>
      <c r="G34" s="3">
        <f t="shared" ref="G34:G65" si="5">C34*F34</f>
        <v>7.5343344885123856E-2</v>
      </c>
      <c r="H34" s="5">
        <f t="shared" ref="H34:H65" si="6">G34*A34</f>
        <v>0.15068668977024771</v>
      </c>
      <c r="I34">
        <f t="shared" ref="I34:I65" si="7">C34*A34</f>
        <v>2</v>
      </c>
    </row>
    <row r="35" spans="1:9" x14ac:dyDescent="0.45">
      <c r="A35">
        <v>3</v>
      </c>
      <c r="B35">
        <v>300</v>
      </c>
      <c r="C35">
        <v>157</v>
      </c>
      <c r="D35">
        <f t="shared" si="2"/>
        <v>300</v>
      </c>
      <c r="E35">
        <f t="shared" si="3"/>
        <v>3</v>
      </c>
      <c r="F35" s="1">
        <f>INDEX('App-Click Conversion by Rank'!$K$12:$S$31,MATCH(E35,'App-Click Conversion by Rank'!$J$12:$J$31,0),MATCH(D35,'App-Click Conversion by Rank'!$K$11:$S$11,0))</f>
        <v>7.8236914600550961E-2</v>
      </c>
      <c r="G35" s="3">
        <f t="shared" si="5"/>
        <v>12.283195592286502</v>
      </c>
      <c r="H35" s="5">
        <f t="shared" si="6"/>
        <v>36.849586776859503</v>
      </c>
      <c r="I35">
        <f t="shared" si="7"/>
        <v>471</v>
      </c>
    </row>
    <row r="36" spans="1:9" x14ac:dyDescent="0.45">
      <c r="A36">
        <v>39</v>
      </c>
      <c r="B36">
        <v>650</v>
      </c>
      <c r="C36">
        <v>1</v>
      </c>
      <c r="D36" t="str">
        <f t="shared" si="2"/>
        <v>501+</v>
      </c>
      <c r="E36" t="str">
        <f t="shared" si="3"/>
        <v>20+</v>
      </c>
      <c r="F36" s="1">
        <f>INDEX('App-Click Conversion by Rank'!$K$12:$S$31,MATCH(E36,'App-Click Conversion by Rank'!$J$12:$J$31,0),MATCH(D36,'App-Click Conversion by Rank'!$K$11:$S$11,0))</f>
        <v>5.9893958237873931E-3</v>
      </c>
      <c r="G36" s="3">
        <f t="shared" si="5"/>
        <v>5.9893958237873931E-3</v>
      </c>
      <c r="H36" s="5">
        <f t="shared" si="6"/>
        <v>0.23358643712770832</v>
      </c>
      <c r="I36">
        <f t="shared" si="7"/>
        <v>39</v>
      </c>
    </row>
    <row r="37" spans="1:9" x14ac:dyDescent="0.45">
      <c r="A37">
        <v>13</v>
      </c>
      <c r="B37">
        <v>350</v>
      </c>
      <c r="C37">
        <v>48</v>
      </c>
      <c r="D37">
        <f t="shared" si="2"/>
        <v>350</v>
      </c>
      <c r="E37">
        <f t="shared" si="3"/>
        <v>13</v>
      </c>
      <c r="F37" s="1">
        <f>INDEX('App-Click Conversion by Rank'!$K$12:$S$31,MATCH(E37,'App-Click Conversion by Rank'!$J$12:$J$31,0),MATCH(D37,'App-Click Conversion by Rank'!$K$11:$S$11,0))</f>
        <v>3.7654653039268424E-3</v>
      </c>
      <c r="G37" s="3">
        <f t="shared" si="5"/>
        <v>0.18074233458848843</v>
      </c>
      <c r="H37" s="5">
        <f t="shared" si="6"/>
        <v>2.3496503496503496</v>
      </c>
      <c r="I37">
        <f t="shared" si="7"/>
        <v>624</v>
      </c>
    </row>
    <row r="38" spans="1:9" x14ac:dyDescent="0.45">
      <c r="A38">
        <v>40</v>
      </c>
      <c r="B38">
        <v>550</v>
      </c>
      <c r="C38">
        <v>24</v>
      </c>
      <c r="D38" t="str">
        <f t="shared" si="2"/>
        <v>501+</v>
      </c>
      <c r="E38" t="str">
        <f t="shared" si="3"/>
        <v>20+</v>
      </c>
      <c r="F38" s="1">
        <f>INDEX('App-Click Conversion by Rank'!$K$12:$S$31,MATCH(E38,'App-Click Conversion by Rank'!$J$12:$J$31,0),MATCH(D38,'App-Click Conversion by Rank'!$K$11:$S$11,0))</f>
        <v>5.9893958237873931E-3</v>
      </c>
      <c r="G38" s="3">
        <f t="shared" si="5"/>
        <v>0.14374549977089743</v>
      </c>
      <c r="H38" s="5">
        <f t="shared" si="6"/>
        <v>5.7498199908358973</v>
      </c>
      <c r="I38">
        <f t="shared" si="7"/>
        <v>960</v>
      </c>
    </row>
    <row r="39" spans="1:9" x14ac:dyDescent="0.45">
      <c r="A39">
        <v>33</v>
      </c>
      <c r="B39">
        <v>400</v>
      </c>
      <c r="C39">
        <v>3</v>
      </c>
      <c r="D39">
        <f t="shared" si="2"/>
        <v>400</v>
      </c>
      <c r="E39" t="str">
        <f t="shared" si="3"/>
        <v>20+</v>
      </c>
      <c r="F39" s="1">
        <f>INDEX('App-Click Conversion by Rank'!$K$12:$S$31,MATCH(E39,'App-Click Conversion by Rank'!$J$12:$J$31,0),MATCH(D39,'App-Click Conversion by Rank'!$K$11:$S$11,0))</f>
        <v>6.4196625091709463E-3</v>
      </c>
      <c r="G39" s="3">
        <f t="shared" si="5"/>
        <v>1.9258987527512837E-2</v>
      </c>
      <c r="H39" s="5">
        <f t="shared" si="6"/>
        <v>0.63554658840792366</v>
      </c>
      <c r="I39">
        <f t="shared" si="7"/>
        <v>99</v>
      </c>
    </row>
    <row r="40" spans="1:9" x14ac:dyDescent="0.45">
      <c r="A40">
        <v>21</v>
      </c>
      <c r="B40">
        <v>600</v>
      </c>
      <c r="C40">
        <v>31</v>
      </c>
      <c r="D40" t="str">
        <f t="shared" si="2"/>
        <v>501+</v>
      </c>
      <c r="E40" t="str">
        <f t="shared" si="3"/>
        <v>20+</v>
      </c>
      <c r="F40" s="1">
        <f>INDEX('App-Click Conversion by Rank'!$K$12:$S$31,MATCH(E40,'App-Click Conversion by Rank'!$J$12:$J$31,0),MATCH(D40,'App-Click Conversion by Rank'!$K$11:$S$11,0))</f>
        <v>5.9893958237873931E-3</v>
      </c>
      <c r="G40" s="3">
        <f t="shared" si="5"/>
        <v>0.1856712705374092</v>
      </c>
      <c r="H40" s="5">
        <f t="shared" si="6"/>
        <v>3.8990966812855934</v>
      </c>
      <c r="I40">
        <f t="shared" si="7"/>
        <v>651</v>
      </c>
    </row>
    <row r="41" spans="1:9" x14ac:dyDescent="0.45">
      <c r="A41">
        <v>21</v>
      </c>
      <c r="B41">
        <v>650</v>
      </c>
      <c r="C41">
        <v>3</v>
      </c>
      <c r="D41" t="str">
        <f t="shared" si="2"/>
        <v>501+</v>
      </c>
      <c r="E41" t="str">
        <f t="shared" si="3"/>
        <v>20+</v>
      </c>
      <c r="F41" s="1">
        <f>INDEX('App-Click Conversion by Rank'!$K$12:$S$31,MATCH(E41,'App-Click Conversion by Rank'!$J$12:$J$31,0),MATCH(D41,'App-Click Conversion by Rank'!$K$11:$S$11,0))</f>
        <v>5.9893958237873931E-3</v>
      </c>
      <c r="G41" s="3">
        <f t="shared" si="5"/>
        <v>1.7968187471362179E-2</v>
      </c>
      <c r="H41" s="5">
        <f t="shared" si="6"/>
        <v>0.37733193689860572</v>
      </c>
      <c r="I41">
        <f t="shared" si="7"/>
        <v>63</v>
      </c>
    </row>
    <row r="42" spans="1:9" x14ac:dyDescent="0.45">
      <c r="A42">
        <v>14</v>
      </c>
      <c r="B42">
        <v>250</v>
      </c>
      <c r="C42">
        <v>2</v>
      </c>
      <c r="D42">
        <f t="shared" si="2"/>
        <v>250</v>
      </c>
      <c r="E42">
        <f t="shared" si="3"/>
        <v>14</v>
      </c>
      <c r="F42" s="1">
        <f>INDEX('App-Click Conversion by Rank'!$K$12:$S$31,MATCH(E42,'App-Click Conversion by Rank'!$J$12:$J$31,0),MATCH(D42,'App-Click Conversion by Rank'!$K$11:$S$11,0))</f>
        <v>1.7751479289940829E-2</v>
      </c>
      <c r="G42" s="3">
        <f t="shared" si="5"/>
        <v>3.5502958579881658E-2</v>
      </c>
      <c r="H42" s="5">
        <f t="shared" si="6"/>
        <v>0.49704142011834318</v>
      </c>
      <c r="I42">
        <f t="shared" si="7"/>
        <v>28</v>
      </c>
    </row>
    <row r="43" spans="1:9" x14ac:dyDescent="0.45">
      <c r="A43">
        <v>40</v>
      </c>
      <c r="B43">
        <v>500</v>
      </c>
      <c r="C43">
        <v>3</v>
      </c>
      <c r="D43">
        <f t="shared" si="2"/>
        <v>500</v>
      </c>
      <c r="E43" t="str">
        <f t="shared" si="3"/>
        <v>20+</v>
      </c>
      <c r="F43" s="1">
        <f>INDEX('App-Click Conversion by Rank'!$K$12:$S$31,MATCH(E43,'App-Click Conversion by Rank'!$J$12:$J$31,0),MATCH(D43,'App-Click Conversion by Rank'!$K$11:$S$11,0))</f>
        <v>5.1121544079290558E-3</v>
      </c>
      <c r="G43" s="3">
        <f t="shared" si="5"/>
        <v>1.5336463223787167E-2</v>
      </c>
      <c r="H43" s="5">
        <f t="shared" si="6"/>
        <v>0.61345852895148667</v>
      </c>
      <c r="I43">
        <f t="shared" si="7"/>
        <v>120</v>
      </c>
    </row>
    <row r="44" spans="1:9" x14ac:dyDescent="0.45">
      <c r="A44">
        <v>17</v>
      </c>
      <c r="B44">
        <v>650</v>
      </c>
      <c r="C44">
        <v>1</v>
      </c>
      <c r="D44" t="str">
        <f t="shared" si="2"/>
        <v>501+</v>
      </c>
      <c r="E44">
        <f t="shared" si="3"/>
        <v>17</v>
      </c>
      <c r="F44" s="1">
        <f>INDEX('App-Click Conversion by Rank'!$K$12:$S$31,MATCH(E44,'App-Click Conversion by Rank'!$J$12:$J$31,0),MATCH(D44,'App-Click Conversion by Rank'!$K$11:$S$11,0))</f>
        <v>2.660901380342591E-3</v>
      </c>
      <c r="G44" s="3">
        <f t="shared" si="5"/>
        <v>2.660901380342591E-3</v>
      </c>
      <c r="H44" s="5">
        <f t="shared" si="6"/>
        <v>4.5235323465824047E-2</v>
      </c>
      <c r="I44">
        <f t="shared" si="7"/>
        <v>17</v>
      </c>
    </row>
    <row r="45" spans="1:9" x14ac:dyDescent="0.45">
      <c r="A45">
        <v>19</v>
      </c>
      <c r="B45">
        <v>700</v>
      </c>
      <c r="C45">
        <v>1</v>
      </c>
      <c r="D45" t="str">
        <f t="shared" si="2"/>
        <v>501+</v>
      </c>
      <c r="E45">
        <f t="shared" si="3"/>
        <v>19</v>
      </c>
      <c r="F45" s="1">
        <f>INDEX('App-Click Conversion by Rank'!$K$12:$S$31,MATCH(E45,'App-Click Conversion by Rank'!$J$12:$J$31,0),MATCH(D45,'App-Click Conversion by Rank'!$K$11:$S$11,0))</f>
        <v>2.8030833917309038E-3</v>
      </c>
      <c r="G45" s="3">
        <f t="shared" si="5"/>
        <v>2.8030833917309038E-3</v>
      </c>
      <c r="H45" s="5">
        <f t="shared" si="6"/>
        <v>5.3258584442887176E-2</v>
      </c>
      <c r="I45">
        <f t="shared" si="7"/>
        <v>19</v>
      </c>
    </row>
    <row r="46" spans="1:9" x14ac:dyDescent="0.45">
      <c r="A46">
        <v>32</v>
      </c>
      <c r="B46">
        <v>650</v>
      </c>
      <c r="C46">
        <v>2</v>
      </c>
      <c r="D46" t="str">
        <f t="shared" si="2"/>
        <v>501+</v>
      </c>
      <c r="E46" t="str">
        <f t="shared" si="3"/>
        <v>20+</v>
      </c>
      <c r="F46" s="1">
        <f>INDEX('App-Click Conversion by Rank'!$K$12:$S$31,MATCH(E46,'App-Click Conversion by Rank'!$J$12:$J$31,0),MATCH(D46,'App-Click Conversion by Rank'!$K$11:$S$11,0))</f>
        <v>5.9893958237873931E-3</v>
      </c>
      <c r="G46" s="3">
        <f t="shared" si="5"/>
        <v>1.1978791647574786E-2</v>
      </c>
      <c r="H46" s="5">
        <f t="shared" si="6"/>
        <v>0.38332133272239316</v>
      </c>
      <c r="I46">
        <f t="shared" si="7"/>
        <v>64</v>
      </c>
    </row>
    <row r="47" spans="1:9" x14ac:dyDescent="0.45">
      <c r="A47">
        <v>8</v>
      </c>
      <c r="B47">
        <v>100</v>
      </c>
      <c r="C47">
        <v>1</v>
      </c>
      <c r="D47" t="str">
        <f t="shared" si="2"/>
        <v>&lt;=150</v>
      </c>
      <c r="E47">
        <f t="shared" si="3"/>
        <v>8</v>
      </c>
      <c r="F47" s="1">
        <f>INDEX('App-Click Conversion by Rank'!$K$12:$S$31,MATCH(E47,'App-Click Conversion by Rank'!$J$12:$J$31,0),MATCH(D47,'App-Click Conversion by Rank'!$K$11:$S$11,0))</f>
        <v>0</v>
      </c>
      <c r="G47" s="3">
        <f t="shared" si="5"/>
        <v>0</v>
      </c>
      <c r="H47" s="5">
        <f t="shared" si="6"/>
        <v>0</v>
      </c>
      <c r="I47">
        <f t="shared" si="7"/>
        <v>8</v>
      </c>
    </row>
    <row r="48" spans="1:9" x14ac:dyDescent="0.45">
      <c r="A48">
        <v>12</v>
      </c>
      <c r="B48">
        <v>400</v>
      </c>
      <c r="C48">
        <v>175</v>
      </c>
      <c r="D48">
        <f t="shared" si="2"/>
        <v>400</v>
      </c>
      <c r="E48">
        <f t="shared" si="3"/>
        <v>12</v>
      </c>
      <c r="F48" s="1">
        <f>INDEX('App-Click Conversion by Rank'!$K$12:$S$31,MATCH(E48,'App-Click Conversion by Rank'!$J$12:$J$31,0),MATCH(D48,'App-Click Conversion by Rank'!$K$11:$S$11,0))</f>
        <v>6.954102920723227E-3</v>
      </c>
      <c r="G48" s="3">
        <f t="shared" si="5"/>
        <v>1.2169680111265648</v>
      </c>
      <c r="H48" s="5">
        <f t="shared" si="6"/>
        <v>14.603616133518777</v>
      </c>
      <c r="I48">
        <f t="shared" si="7"/>
        <v>2100</v>
      </c>
    </row>
    <row r="49" spans="1:9" x14ac:dyDescent="0.45">
      <c r="A49">
        <v>17</v>
      </c>
      <c r="B49">
        <v>450</v>
      </c>
      <c r="C49">
        <v>105</v>
      </c>
      <c r="D49">
        <f t="shared" si="2"/>
        <v>450</v>
      </c>
      <c r="E49">
        <f t="shared" si="3"/>
        <v>17</v>
      </c>
      <c r="F49" s="1">
        <f>INDEX('App-Click Conversion by Rank'!$K$12:$S$31,MATCH(E49,'App-Click Conversion by Rank'!$J$12:$J$31,0),MATCH(D49,'App-Click Conversion by Rank'!$K$11:$S$11,0))</f>
        <v>3.609293931874577E-3</v>
      </c>
      <c r="G49" s="3">
        <f t="shared" si="5"/>
        <v>0.3789758628468306</v>
      </c>
      <c r="H49" s="5">
        <f t="shared" si="6"/>
        <v>6.4425896683961206</v>
      </c>
      <c r="I49">
        <f t="shared" si="7"/>
        <v>1785</v>
      </c>
    </row>
    <row r="50" spans="1:9" x14ac:dyDescent="0.45">
      <c r="A50">
        <v>18</v>
      </c>
      <c r="B50">
        <v>500</v>
      </c>
      <c r="C50">
        <v>284</v>
      </c>
      <c r="D50">
        <f t="shared" si="2"/>
        <v>500</v>
      </c>
      <c r="E50">
        <f t="shared" si="3"/>
        <v>18</v>
      </c>
      <c r="F50" s="1">
        <f>INDEX('App-Click Conversion by Rank'!$K$12:$S$31,MATCH(E50,'App-Click Conversion by Rank'!$J$12:$J$31,0),MATCH(D50,'App-Click Conversion by Rank'!$K$11:$S$11,0))</f>
        <v>4.3760374226648555E-3</v>
      </c>
      <c r="G50" s="3">
        <f t="shared" si="5"/>
        <v>1.2427946280368189</v>
      </c>
      <c r="H50" s="5">
        <f t="shared" si="6"/>
        <v>22.370303304662741</v>
      </c>
      <c r="I50">
        <f t="shared" si="7"/>
        <v>5112</v>
      </c>
    </row>
    <row r="51" spans="1:9" x14ac:dyDescent="0.45">
      <c r="A51">
        <v>20</v>
      </c>
      <c r="B51">
        <v>550</v>
      </c>
      <c r="C51">
        <v>184</v>
      </c>
      <c r="D51" t="str">
        <f t="shared" si="2"/>
        <v>501+</v>
      </c>
      <c r="E51" t="str">
        <f t="shared" si="3"/>
        <v>20+</v>
      </c>
      <c r="F51" s="1">
        <f>INDEX('App-Click Conversion by Rank'!$K$12:$S$31,MATCH(E51,'App-Click Conversion by Rank'!$J$12:$J$31,0),MATCH(D51,'App-Click Conversion by Rank'!$K$11:$S$11,0))</f>
        <v>5.9893958237873931E-3</v>
      </c>
      <c r="G51" s="3">
        <f t="shared" si="5"/>
        <v>1.1020488315768804</v>
      </c>
      <c r="H51" s="5">
        <f t="shared" si="6"/>
        <v>22.040976631537607</v>
      </c>
      <c r="I51">
        <f t="shared" si="7"/>
        <v>3680</v>
      </c>
    </row>
    <row r="52" spans="1:9" x14ac:dyDescent="0.45">
      <c r="A52">
        <v>21</v>
      </c>
      <c r="B52">
        <v>300</v>
      </c>
      <c r="C52">
        <v>9</v>
      </c>
      <c r="D52">
        <f t="shared" si="2"/>
        <v>300</v>
      </c>
      <c r="E52" t="str">
        <f t="shared" si="3"/>
        <v>20+</v>
      </c>
      <c r="F52" s="1">
        <f>INDEX('App-Click Conversion by Rank'!$K$12:$S$31,MATCH(E52,'App-Click Conversion by Rank'!$J$12:$J$31,0),MATCH(D52,'App-Click Conversion by Rank'!$K$11:$S$11,0))</f>
        <v>4.5385779122541605E-3</v>
      </c>
      <c r="G52" s="3">
        <f t="shared" si="5"/>
        <v>4.0847201210287447E-2</v>
      </c>
      <c r="H52" s="5">
        <f t="shared" si="6"/>
        <v>0.85779122541603636</v>
      </c>
      <c r="I52">
        <f t="shared" si="7"/>
        <v>189</v>
      </c>
    </row>
    <row r="53" spans="1:9" x14ac:dyDescent="0.45">
      <c r="A53">
        <v>20</v>
      </c>
      <c r="B53">
        <v>450</v>
      </c>
      <c r="C53">
        <v>147</v>
      </c>
      <c r="D53">
        <f t="shared" si="2"/>
        <v>450</v>
      </c>
      <c r="E53" t="str">
        <f t="shared" si="3"/>
        <v>20+</v>
      </c>
      <c r="F53" s="1">
        <f>INDEX('App-Click Conversion by Rank'!$K$12:$S$31,MATCH(E53,'App-Click Conversion by Rank'!$J$12:$J$31,0),MATCH(D53,'App-Click Conversion by Rank'!$K$11:$S$11,0))</f>
        <v>5.6022408963585435E-3</v>
      </c>
      <c r="G53" s="3">
        <f t="shared" si="5"/>
        <v>0.82352941176470584</v>
      </c>
      <c r="H53" s="5">
        <f t="shared" si="6"/>
        <v>16.470588235294116</v>
      </c>
      <c r="I53">
        <f t="shared" si="7"/>
        <v>2940</v>
      </c>
    </row>
    <row r="54" spans="1:9" x14ac:dyDescent="0.45">
      <c r="A54">
        <v>17</v>
      </c>
      <c r="B54">
        <v>300</v>
      </c>
      <c r="C54">
        <v>2</v>
      </c>
      <c r="D54">
        <f t="shared" si="2"/>
        <v>300</v>
      </c>
      <c r="E54">
        <f t="shared" si="3"/>
        <v>17</v>
      </c>
      <c r="F54" s="1">
        <f>INDEX('App-Click Conversion by Rank'!$K$12:$S$31,MATCH(E54,'App-Click Conversion by Rank'!$J$12:$J$31,0),MATCH(D54,'App-Click Conversion by Rank'!$K$11:$S$11,0))</f>
        <v>1.736111111111111E-3</v>
      </c>
      <c r="G54" s="3">
        <f t="shared" si="5"/>
        <v>3.472222222222222E-3</v>
      </c>
      <c r="H54" s="5">
        <f t="shared" si="6"/>
        <v>5.9027777777777776E-2</v>
      </c>
      <c r="I54">
        <f t="shared" si="7"/>
        <v>34</v>
      </c>
    </row>
    <row r="55" spans="1:9" x14ac:dyDescent="0.45">
      <c r="A55">
        <v>17</v>
      </c>
      <c r="B55">
        <v>350</v>
      </c>
      <c r="C55">
        <v>15</v>
      </c>
      <c r="D55">
        <f t="shared" si="2"/>
        <v>350</v>
      </c>
      <c r="E55">
        <f t="shared" si="3"/>
        <v>17</v>
      </c>
      <c r="F55" s="1">
        <f>INDEX('App-Click Conversion by Rank'!$K$12:$S$31,MATCH(E55,'App-Click Conversion by Rank'!$J$12:$J$31,0),MATCH(D55,'App-Click Conversion by Rank'!$K$11:$S$11,0))</f>
        <v>2.5445292620865142E-3</v>
      </c>
      <c r="G55" s="3">
        <f t="shared" si="5"/>
        <v>3.8167938931297711E-2</v>
      </c>
      <c r="H55" s="5">
        <f t="shared" si="6"/>
        <v>0.64885496183206104</v>
      </c>
      <c r="I55">
        <f t="shared" si="7"/>
        <v>255</v>
      </c>
    </row>
    <row r="56" spans="1:9" x14ac:dyDescent="0.45">
      <c r="A56">
        <v>21</v>
      </c>
      <c r="B56">
        <v>350</v>
      </c>
      <c r="C56">
        <v>17</v>
      </c>
      <c r="D56">
        <f t="shared" si="2"/>
        <v>350</v>
      </c>
      <c r="E56" t="str">
        <f t="shared" si="3"/>
        <v>20+</v>
      </c>
      <c r="F56" s="1">
        <f>INDEX('App-Click Conversion by Rank'!$K$12:$S$31,MATCH(E56,'App-Click Conversion by Rank'!$J$12:$J$31,0),MATCH(D56,'App-Click Conversion by Rank'!$K$11:$S$11,0))</f>
        <v>4.1279669762641896E-3</v>
      </c>
      <c r="G56" s="3">
        <f t="shared" si="5"/>
        <v>7.0175438596491224E-2</v>
      </c>
      <c r="H56" s="5">
        <f t="shared" si="6"/>
        <v>1.4736842105263157</v>
      </c>
      <c r="I56">
        <f t="shared" si="7"/>
        <v>357</v>
      </c>
    </row>
    <row r="57" spans="1:9" x14ac:dyDescent="0.45">
      <c r="A57">
        <v>19</v>
      </c>
      <c r="B57">
        <v>400</v>
      </c>
      <c r="C57">
        <v>52</v>
      </c>
      <c r="D57">
        <f t="shared" si="2"/>
        <v>400</v>
      </c>
      <c r="E57">
        <f t="shared" si="3"/>
        <v>19</v>
      </c>
      <c r="F57" s="1">
        <f>INDEX('App-Click Conversion by Rank'!$K$12:$S$31,MATCH(E57,'App-Click Conversion by Rank'!$J$12:$J$31,0),MATCH(D57,'App-Click Conversion by Rank'!$K$11:$S$11,0))</f>
        <v>2.1220159151193632E-3</v>
      </c>
      <c r="G57" s="3">
        <f t="shared" si="5"/>
        <v>0.11034482758620688</v>
      </c>
      <c r="H57" s="5">
        <f t="shared" si="6"/>
        <v>2.0965517241379308</v>
      </c>
      <c r="I57">
        <f t="shared" si="7"/>
        <v>988</v>
      </c>
    </row>
    <row r="58" spans="1:9" x14ac:dyDescent="0.45">
      <c r="A58">
        <v>8</v>
      </c>
      <c r="B58">
        <v>250</v>
      </c>
      <c r="C58">
        <v>55</v>
      </c>
      <c r="D58">
        <f t="shared" si="2"/>
        <v>250</v>
      </c>
      <c r="E58">
        <f t="shared" si="3"/>
        <v>8</v>
      </c>
      <c r="F58" s="1">
        <f>INDEX('App-Click Conversion by Rank'!$K$12:$S$31,MATCH(E58,'App-Click Conversion by Rank'!$J$12:$J$31,0),MATCH(D58,'App-Click Conversion by Rank'!$K$11:$S$11,0))</f>
        <v>3.04E-2</v>
      </c>
      <c r="G58" s="3">
        <f t="shared" si="5"/>
        <v>1.6719999999999999</v>
      </c>
      <c r="H58" s="5">
        <f t="shared" si="6"/>
        <v>13.375999999999999</v>
      </c>
      <c r="I58">
        <f t="shared" si="7"/>
        <v>440</v>
      </c>
    </row>
    <row r="59" spans="1:9" x14ac:dyDescent="0.45">
      <c r="A59">
        <v>8</v>
      </c>
      <c r="B59">
        <v>200</v>
      </c>
      <c r="C59">
        <v>21</v>
      </c>
      <c r="D59">
        <f t="shared" si="2"/>
        <v>200</v>
      </c>
      <c r="E59">
        <f t="shared" si="3"/>
        <v>8</v>
      </c>
      <c r="F59" s="1">
        <f>INDEX('App-Click Conversion by Rank'!$K$12:$S$31,MATCH(E59,'App-Click Conversion by Rank'!$J$12:$J$31,0),MATCH(D59,'App-Click Conversion by Rank'!$K$11:$S$11,0))</f>
        <v>1.7817371937639197E-2</v>
      </c>
      <c r="G59" s="3">
        <f t="shared" si="5"/>
        <v>0.37416481069042312</v>
      </c>
      <c r="H59" s="5">
        <f t="shared" si="6"/>
        <v>2.993318485523385</v>
      </c>
      <c r="I59">
        <f t="shared" si="7"/>
        <v>168</v>
      </c>
    </row>
    <row r="60" spans="1:9" x14ac:dyDescent="0.45">
      <c r="A60">
        <v>26</v>
      </c>
      <c r="B60">
        <v>400</v>
      </c>
      <c r="C60">
        <v>12</v>
      </c>
      <c r="D60">
        <f t="shared" si="2"/>
        <v>400</v>
      </c>
      <c r="E60" t="str">
        <f t="shared" si="3"/>
        <v>20+</v>
      </c>
      <c r="F60" s="1">
        <f>INDEX('App-Click Conversion by Rank'!$K$12:$S$31,MATCH(E60,'App-Click Conversion by Rank'!$J$12:$J$31,0),MATCH(D60,'App-Click Conversion by Rank'!$K$11:$S$11,0))</f>
        <v>6.4196625091709463E-3</v>
      </c>
      <c r="G60" s="3">
        <f t="shared" si="5"/>
        <v>7.7035950110051349E-2</v>
      </c>
      <c r="H60" s="5">
        <f t="shared" si="6"/>
        <v>2.0029347028613351</v>
      </c>
      <c r="I60">
        <f t="shared" si="7"/>
        <v>312</v>
      </c>
    </row>
    <row r="61" spans="1:9" x14ac:dyDescent="0.45">
      <c r="A61">
        <v>16</v>
      </c>
      <c r="B61">
        <v>650</v>
      </c>
      <c r="C61">
        <v>1</v>
      </c>
      <c r="D61" t="str">
        <f t="shared" si="2"/>
        <v>501+</v>
      </c>
      <c r="E61">
        <f t="shared" si="3"/>
        <v>16</v>
      </c>
      <c r="F61" s="1">
        <f>INDEX('App-Click Conversion by Rank'!$K$12:$S$31,MATCH(E61,'App-Click Conversion by Rank'!$J$12:$J$31,0),MATCH(D61,'App-Click Conversion by Rank'!$K$11:$S$11,0))</f>
        <v>3.5842293906810036E-3</v>
      </c>
      <c r="G61" s="3">
        <f t="shared" si="5"/>
        <v>3.5842293906810036E-3</v>
      </c>
      <c r="H61" s="5">
        <f t="shared" si="6"/>
        <v>5.7347670250896057E-2</v>
      </c>
      <c r="I61">
        <f t="shared" si="7"/>
        <v>16</v>
      </c>
    </row>
    <row r="62" spans="1:9" x14ac:dyDescent="0.45">
      <c r="A62">
        <v>2</v>
      </c>
      <c r="B62">
        <v>150</v>
      </c>
      <c r="C62">
        <v>2</v>
      </c>
      <c r="D62" t="str">
        <f t="shared" si="2"/>
        <v>&lt;=150</v>
      </c>
      <c r="E62">
        <f t="shared" si="3"/>
        <v>2</v>
      </c>
      <c r="F62" s="1">
        <f>INDEX('App-Click Conversion by Rank'!$K$12:$S$31,MATCH(E62,'App-Click Conversion by Rank'!$J$12:$J$31,0),MATCH(D62,'App-Click Conversion by Rank'!$K$11:$S$11,0))</f>
        <v>0.14536340852130325</v>
      </c>
      <c r="G62" s="3">
        <f t="shared" si="5"/>
        <v>0.2907268170426065</v>
      </c>
      <c r="H62" s="5">
        <f t="shared" si="6"/>
        <v>0.581453634085213</v>
      </c>
      <c r="I62">
        <f t="shared" si="7"/>
        <v>4</v>
      </c>
    </row>
    <row r="63" spans="1:9" x14ac:dyDescent="0.45">
      <c r="A63">
        <v>39</v>
      </c>
      <c r="B63">
        <v>350</v>
      </c>
      <c r="C63">
        <v>1</v>
      </c>
      <c r="D63">
        <f t="shared" si="2"/>
        <v>350</v>
      </c>
      <c r="E63" t="str">
        <f t="shared" si="3"/>
        <v>20+</v>
      </c>
      <c r="F63" s="1">
        <f>INDEX('App-Click Conversion by Rank'!$K$12:$S$31,MATCH(E63,'App-Click Conversion by Rank'!$J$12:$J$31,0),MATCH(D63,'App-Click Conversion by Rank'!$K$11:$S$11,0))</f>
        <v>4.1279669762641896E-3</v>
      </c>
      <c r="G63" s="3">
        <f t="shared" si="5"/>
        <v>4.1279669762641896E-3</v>
      </c>
      <c r="H63" s="5">
        <f t="shared" si="6"/>
        <v>0.1609907120743034</v>
      </c>
      <c r="I63">
        <f t="shared" si="7"/>
        <v>39</v>
      </c>
    </row>
    <row r="64" spans="1:9" x14ac:dyDescent="0.45">
      <c r="A64">
        <v>28</v>
      </c>
      <c r="B64">
        <v>650</v>
      </c>
      <c r="C64">
        <v>4</v>
      </c>
      <c r="D64" t="str">
        <f t="shared" si="2"/>
        <v>501+</v>
      </c>
      <c r="E64" t="str">
        <f t="shared" si="3"/>
        <v>20+</v>
      </c>
      <c r="F64" s="1">
        <f>INDEX('App-Click Conversion by Rank'!$K$12:$S$31,MATCH(E64,'App-Click Conversion by Rank'!$J$12:$J$31,0),MATCH(D64,'App-Click Conversion by Rank'!$K$11:$S$11,0))</f>
        <v>5.9893958237873931E-3</v>
      </c>
      <c r="G64" s="3">
        <f t="shared" si="5"/>
        <v>2.3957583295149572E-2</v>
      </c>
      <c r="H64" s="5">
        <f t="shared" si="6"/>
        <v>0.67081233226418802</v>
      </c>
      <c r="I64">
        <f t="shared" si="7"/>
        <v>112</v>
      </c>
    </row>
    <row r="65" spans="1:9" x14ac:dyDescent="0.45">
      <c r="A65">
        <v>6</v>
      </c>
      <c r="B65">
        <v>150</v>
      </c>
      <c r="C65">
        <v>1</v>
      </c>
      <c r="D65" t="str">
        <f t="shared" si="2"/>
        <v>&lt;=150</v>
      </c>
      <c r="E65">
        <f t="shared" si="3"/>
        <v>6</v>
      </c>
      <c r="F65" s="1">
        <f>INDEX('App-Click Conversion by Rank'!$K$12:$S$31,MATCH(E65,'App-Click Conversion by Rank'!$J$12:$J$31,0),MATCH(D65,'App-Click Conversion by Rank'!$K$11:$S$11,0))</f>
        <v>6.25E-2</v>
      </c>
      <c r="G65" s="3">
        <f t="shared" si="5"/>
        <v>6.25E-2</v>
      </c>
      <c r="H65" s="5">
        <f t="shared" si="6"/>
        <v>0.375</v>
      </c>
      <c r="I65">
        <f t="shared" si="7"/>
        <v>6</v>
      </c>
    </row>
    <row r="66" spans="1:9" x14ac:dyDescent="0.45">
      <c r="A66">
        <v>31</v>
      </c>
      <c r="B66">
        <v>400</v>
      </c>
      <c r="C66">
        <v>3</v>
      </c>
      <c r="D66">
        <f t="shared" si="2"/>
        <v>400</v>
      </c>
      <c r="E66" t="str">
        <f t="shared" si="3"/>
        <v>20+</v>
      </c>
      <c r="F66" s="1">
        <f>INDEX('App-Click Conversion by Rank'!$K$12:$S$31,MATCH(E66,'App-Click Conversion by Rank'!$J$12:$J$31,0),MATCH(D66,'App-Click Conversion by Rank'!$K$11:$S$11,0))</f>
        <v>6.4196625091709463E-3</v>
      </c>
      <c r="G66" s="3">
        <f t="shared" ref="G66:G97" si="8">C66*F66</f>
        <v>1.9258987527512837E-2</v>
      </c>
      <c r="H66" s="5">
        <f t="shared" ref="H66:H97" si="9">G66*A66</f>
        <v>0.59702861335289792</v>
      </c>
      <c r="I66">
        <f t="shared" ref="I66:I97" si="10">C66*A66</f>
        <v>93</v>
      </c>
    </row>
    <row r="67" spans="1:9" x14ac:dyDescent="0.45">
      <c r="A67">
        <v>43</v>
      </c>
      <c r="B67">
        <v>500</v>
      </c>
      <c r="C67">
        <v>2</v>
      </c>
      <c r="D67">
        <f t="shared" ref="D67:D98" si="11">IF(B67&lt;=150,"&lt;=150",IF(B67&gt;500,"501+",B67))</f>
        <v>500</v>
      </c>
      <c r="E67" t="str">
        <f t="shared" ref="E67:E98" si="12">IF(A67&gt;=20,"20+",A67)</f>
        <v>20+</v>
      </c>
      <c r="F67" s="1">
        <f>INDEX('App-Click Conversion by Rank'!$K$12:$S$31,MATCH(E67,'App-Click Conversion by Rank'!$J$12:$J$31,0),MATCH(D67,'App-Click Conversion by Rank'!$K$11:$S$11,0))</f>
        <v>5.1121544079290558E-3</v>
      </c>
      <c r="G67" s="3">
        <f t="shared" si="8"/>
        <v>1.0224308815858112E-2</v>
      </c>
      <c r="H67" s="5">
        <f t="shared" si="9"/>
        <v>0.43964527908189882</v>
      </c>
      <c r="I67">
        <f t="shared" si="10"/>
        <v>86</v>
      </c>
    </row>
    <row r="68" spans="1:9" x14ac:dyDescent="0.45">
      <c r="A68">
        <v>7</v>
      </c>
      <c r="B68">
        <v>200</v>
      </c>
      <c r="C68">
        <v>2</v>
      </c>
      <c r="D68">
        <f t="shared" si="11"/>
        <v>200</v>
      </c>
      <c r="E68">
        <f t="shared" si="12"/>
        <v>7</v>
      </c>
      <c r="F68" s="1">
        <f>INDEX('App-Click Conversion by Rank'!$K$12:$S$31,MATCH(E68,'App-Click Conversion by Rank'!$J$12:$J$31,0),MATCH(D68,'App-Click Conversion by Rank'!$K$11:$S$11,0))</f>
        <v>2.3569023569023569E-2</v>
      </c>
      <c r="G68" s="3">
        <f t="shared" si="8"/>
        <v>4.7138047138047139E-2</v>
      </c>
      <c r="H68" s="5">
        <f t="shared" si="9"/>
        <v>0.32996632996632996</v>
      </c>
      <c r="I68">
        <f t="shared" si="10"/>
        <v>14</v>
      </c>
    </row>
    <row r="69" spans="1:9" x14ac:dyDescent="0.45">
      <c r="A69">
        <v>32</v>
      </c>
      <c r="B69">
        <v>300</v>
      </c>
      <c r="C69">
        <v>1</v>
      </c>
      <c r="D69">
        <f t="shared" si="11"/>
        <v>300</v>
      </c>
      <c r="E69" t="str">
        <f t="shared" si="12"/>
        <v>20+</v>
      </c>
      <c r="F69" s="1">
        <f>INDEX('App-Click Conversion by Rank'!$K$12:$S$31,MATCH(E69,'App-Click Conversion by Rank'!$J$12:$J$31,0),MATCH(D69,'App-Click Conversion by Rank'!$K$11:$S$11,0))</f>
        <v>4.5385779122541605E-3</v>
      </c>
      <c r="G69" s="3">
        <f t="shared" si="8"/>
        <v>4.5385779122541605E-3</v>
      </c>
      <c r="H69" s="5">
        <f t="shared" si="9"/>
        <v>0.14523449319213314</v>
      </c>
      <c r="I69">
        <f t="shared" si="10"/>
        <v>32</v>
      </c>
    </row>
    <row r="70" spans="1:9" x14ac:dyDescent="0.45">
      <c r="A70">
        <v>30</v>
      </c>
      <c r="B70">
        <v>650</v>
      </c>
      <c r="C70">
        <v>1</v>
      </c>
      <c r="D70" t="str">
        <f t="shared" si="11"/>
        <v>501+</v>
      </c>
      <c r="E70" t="str">
        <f t="shared" si="12"/>
        <v>20+</v>
      </c>
      <c r="F70" s="1">
        <f>INDEX('App-Click Conversion by Rank'!$K$12:$S$31,MATCH(E70,'App-Click Conversion by Rank'!$J$12:$J$31,0),MATCH(D70,'App-Click Conversion by Rank'!$K$11:$S$11,0))</f>
        <v>5.9893958237873931E-3</v>
      </c>
      <c r="G70" s="3">
        <f t="shared" si="8"/>
        <v>5.9893958237873931E-3</v>
      </c>
      <c r="H70" s="5">
        <f t="shared" si="9"/>
        <v>0.17968187471362179</v>
      </c>
      <c r="I70">
        <f t="shared" si="10"/>
        <v>30</v>
      </c>
    </row>
    <row r="71" spans="1:9" x14ac:dyDescent="0.45">
      <c r="A71">
        <v>16</v>
      </c>
      <c r="B71">
        <v>500</v>
      </c>
      <c r="C71">
        <v>345</v>
      </c>
      <c r="D71">
        <f t="shared" si="11"/>
        <v>500</v>
      </c>
      <c r="E71">
        <f t="shared" si="12"/>
        <v>16</v>
      </c>
      <c r="F71" s="1">
        <f>INDEX('App-Click Conversion by Rank'!$K$12:$S$31,MATCH(E71,'App-Click Conversion by Rank'!$J$12:$J$31,0),MATCH(D71,'App-Click Conversion by Rank'!$K$11:$S$11,0))</f>
        <v>2.9247910863509749E-3</v>
      </c>
      <c r="G71" s="3">
        <f t="shared" si="8"/>
        <v>1.0090529247910864</v>
      </c>
      <c r="H71" s="5">
        <f t="shared" si="9"/>
        <v>16.144846796657383</v>
      </c>
      <c r="I71">
        <f t="shared" si="10"/>
        <v>5520</v>
      </c>
    </row>
    <row r="72" spans="1:9" x14ac:dyDescent="0.45">
      <c r="A72">
        <v>25</v>
      </c>
      <c r="B72">
        <v>500</v>
      </c>
      <c r="C72">
        <v>465</v>
      </c>
      <c r="D72">
        <f t="shared" si="11"/>
        <v>500</v>
      </c>
      <c r="E72" t="str">
        <f t="shared" si="12"/>
        <v>20+</v>
      </c>
      <c r="F72" s="1">
        <f>INDEX('App-Click Conversion by Rank'!$K$12:$S$31,MATCH(E72,'App-Click Conversion by Rank'!$J$12:$J$31,0),MATCH(D72,'App-Click Conversion by Rank'!$K$11:$S$11,0))</f>
        <v>5.1121544079290558E-3</v>
      </c>
      <c r="G72" s="3">
        <f t="shared" si="8"/>
        <v>2.3771517996870108</v>
      </c>
      <c r="H72" s="5">
        <f t="shared" si="9"/>
        <v>59.42879499217527</v>
      </c>
      <c r="I72">
        <f t="shared" si="10"/>
        <v>11625</v>
      </c>
    </row>
    <row r="73" spans="1:9" x14ac:dyDescent="0.45">
      <c r="A73">
        <v>12</v>
      </c>
      <c r="B73">
        <v>300</v>
      </c>
      <c r="C73">
        <v>25</v>
      </c>
      <c r="D73">
        <f t="shared" si="11"/>
        <v>300</v>
      </c>
      <c r="E73">
        <f t="shared" si="12"/>
        <v>12</v>
      </c>
      <c r="F73" s="1">
        <f>INDEX('App-Click Conversion by Rank'!$K$12:$S$31,MATCH(E73,'App-Click Conversion by Rank'!$J$12:$J$31,0),MATCH(D73,'App-Click Conversion by Rank'!$K$11:$S$11,0))</f>
        <v>1.4763014763014764E-2</v>
      </c>
      <c r="G73" s="3">
        <f t="shared" si="8"/>
        <v>0.36907536907536909</v>
      </c>
      <c r="H73" s="5">
        <f t="shared" si="9"/>
        <v>4.4289044289044295</v>
      </c>
      <c r="I73">
        <f t="shared" si="10"/>
        <v>300</v>
      </c>
    </row>
    <row r="74" spans="1:9" x14ac:dyDescent="0.45">
      <c r="A74">
        <v>15</v>
      </c>
      <c r="B74">
        <v>400</v>
      </c>
      <c r="C74">
        <v>534</v>
      </c>
      <c r="D74">
        <f t="shared" si="11"/>
        <v>400</v>
      </c>
      <c r="E74">
        <f t="shared" si="12"/>
        <v>15</v>
      </c>
      <c r="F74" s="1">
        <f>INDEX('App-Click Conversion by Rank'!$K$12:$S$31,MATCH(E74,'App-Click Conversion by Rank'!$J$12:$J$31,0),MATCH(D74,'App-Click Conversion by Rank'!$K$11:$S$11,0))</f>
        <v>3.6764705882352941E-3</v>
      </c>
      <c r="G74" s="3">
        <f t="shared" si="8"/>
        <v>1.963235294117647</v>
      </c>
      <c r="H74" s="5">
        <f t="shared" si="9"/>
        <v>29.448529411764703</v>
      </c>
      <c r="I74">
        <f t="shared" si="10"/>
        <v>8010</v>
      </c>
    </row>
    <row r="75" spans="1:9" x14ac:dyDescent="0.45">
      <c r="A75">
        <v>22</v>
      </c>
      <c r="B75">
        <v>500</v>
      </c>
      <c r="C75">
        <v>241</v>
      </c>
      <c r="D75">
        <f t="shared" si="11"/>
        <v>500</v>
      </c>
      <c r="E75" t="str">
        <f t="shared" si="12"/>
        <v>20+</v>
      </c>
      <c r="F75" s="1">
        <f>INDEX('App-Click Conversion by Rank'!$K$12:$S$31,MATCH(E75,'App-Click Conversion by Rank'!$J$12:$J$31,0),MATCH(D75,'App-Click Conversion by Rank'!$K$11:$S$11,0))</f>
        <v>5.1121544079290558E-3</v>
      </c>
      <c r="G75" s="3">
        <f t="shared" si="8"/>
        <v>1.2320292123109025</v>
      </c>
      <c r="H75" s="5">
        <f t="shared" si="9"/>
        <v>27.104642670839855</v>
      </c>
      <c r="I75">
        <f t="shared" si="10"/>
        <v>5302</v>
      </c>
    </row>
    <row r="76" spans="1:9" x14ac:dyDescent="0.45">
      <c r="A76">
        <v>4</v>
      </c>
      <c r="B76">
        <v>200</v>
      </c>
      <c r="C76">
        <v>19</v>
      </c>
      <c r="D76">
        <f t="shared" si="11"/>
        <v>200</v>
      </c>
      <c r="E76">
        <f t="shared" si="12"/>
        <v>4</v>
      </c>
      <c r="F76" s="1">
        <f>INDEX('App-Click Conversion by Rank'!$K$12:$S$31,MATCH(E76,'App-Click Conversion by Rank'!$J$12:$J$31,0),MATCH(D76,'App-Click Conversion by Rank'!$K$11:$S$11,0))</f>
        <v>0.10109289617486339</v>
      </c>
      <c r="G76" s="3">
        <f t="shared" si="8"/>
        <v>1.9207650273224044</v>
      </c>
      <c r="H76" s="5">
        <f t="shared" si="9"/>
        <v>7.6830601092896176</v>
      </c>
      <c r="I76">
        <f t="shared" si="10"/>
        <v>76</v>
      </c>
    </row>
    <row r="77" spans="1:9" x14ac:dyDescent="0.45">
      <c r="A77">
        <v>4</v>
      </c>
      <c r="B77">
        <v>250</v>
      </c>
      <c r="C77">
        <v>49</v>
      </c>
      <c r="D77">
        <f t="shared" si="11"/>
        <v>250</v>
      </c>
      <c r="E77">
        <f t="shared" si="12"/>
        <v>4</v>
      </c>
      <c r="F77" s="1">
        <f>INDEX('App-Click Conversion by Rank'!$K$12:$S$31,MATCH(E77,'App-Click Conversion by Rank'!$J$12:$J$31,0),MATCH(D77,'App-Click Conversion by Rank'!$K$11:$S$11,0))</f>
        <v>6.9376693766937669E-2</v>
      </c>
      <c r="G77" s="3">
        <f t="shared" si="8"/>
        <v>3.3994579945799459</v>
      </c>
      <c r="H77" s="5">
        <f t="shared" si="9"/>
        <v>13.597831978319784</v>
      </c>
      <c r="I77">
        <f t="shared" si="10"/>
        <v>196</v>
      </c>
    </row>
    <row r="78" spans="1:9" x14ac:dyDescent="0.45">
      <c r="A78">
        <v>34</v>
      </c>
      <c r="B78">
        <v>550</v>
      </c>
      <c r="C78">
        <v>71</v>
      </c>
      <c r="D78" t="str">
        <f t="shared" si="11"/>
        <v>501+</v>
      </c>
      <c r="E78" t="str">
        <f t="shared" si="12"/>
        <v>20+</v>
      </c>
      <c r="F78" s="1">
        <f>INDEX('App-Click Conversion by Rank'!$K$12:$S$31,MATCH(E78,'App-Click Conversion by Rank'!$J$12:$J$31,0),MATCH(D78,'App-Click Conversion by Rank'!$K$11:$S$11,0))</f>
        <v>5.9893958237873931E-3</v>
      </c>
      <c r="G78" s="3">
        <f t="shared" si="8"/>
        <v>0.42524710348890493</v>
      </c>
      <c r="H78" s="5">
        <f t="shared" si="9"/>
        <v>14.458401518622768</v>
      </c>
      <c r="I78">
        <f t="shared" si="10"/>
        <v>2414</v>
      </c>
    </row>
    <row r="79" spans="1:9" x14ac:dyDescent="0.45">
      <c r="A79">
        <v>8</v>
      </c>
      <c r="B79">
        <v>500</v>
      </c>
      <c r="C79">
        <v>352</v>
      </c>
      <c r="D79">
        <f t="shared" si="11"/>
        <v>500</v>
      </c>
      <c r="E79">
        <f t="shared" si="12"/>
        <v>8</v>
      </c>
      <c r="F79" s="1">
        <f>INDEX('App-Click Conversion by Rank'!$K$12:$S$31,MATCH(E79,'App-Click Conversion by Rank'!$J$12:$J$31,0),MATCH(D79,'App-Click Conversion by Rank'!$K$11:$S$11,0))</f>
        <v>9.114719748559456E-3</v>
      </c>
      <c r="G79" s="3">
        <f t="shared" si="8"/>
        <v>3.2083813514929287</v>
      </c>
      <c r="H79" s="5">
        <f t="shared" si="9"/>
        <v>25.66705081194343</v>
      </c>
      <c r="I79">
        <f t="shared" si="10"/>
        <v>2816</v>
      </c>
    </row>
    <row r="80" spans="1:9" x14ac:dyDescent="0.45">
      <c r="A80">
        <v>2</v>
      </c>
      <c r="B80">
        <v>200</v>
      </c>
      <c r="C80">
        <v>8</v>
      </c>
      <c r="D80">
        <f t="shared" si="11"/>
        <v>200</v>
      </c>
      <c r="E80">
        <f t="shared" si="12"/>
        <v>2</v>
      </c>
      <c r="F80" s="1">
        <f>INDEX('App-Click Conversion by Rank'!$K$12:$S$31,MATCH(E80,'App-Click Conversion by Rank'!$J$12:$J$31,0),MATCH(D80,'App-Click Conversion by Rank'!$K$11:$S$11,0))</f>
        <v>0.13572679509632224</v>
      </c>
      <c r="G80" s="3">
        <f t="shared" si="8"/>
        <v>1.0858143607705779</v>
      </c>
      <c r="H80" s="5">
        <f t="shared" si="9"/>
        <v>2.1716287215411558</v>
      </c>
      <c r="I80">
        <f t="shared" si="10"/>
        <v>16</v>
      </c>
    </row>
    <row r="81" spans="1:9" x14ac:dyDescent="0.45">
      <c r="A81">
        <v>31</v>
      </c>
      <c r="B81">
        <v>500</v>
      </c>
      <c r="C81">
        <v>80</v>
      </c>
      <c r="D81">
        <f t="shared" si="11"/>
        <v>500</v>
      </c>
      <c r="E81" t="str">
        <f t="shared" si="12"/>
        <v>20+</v>
      </c>
      <c r="F81" s="1">
        <f>INDEX('App-Click Conversion by Rank'!$K$12:$S$31,MATCH(E81,'App-Click Conversion by Rank'!$J$12:$J$31,0),MATCH(D81,'App-Click Conversion by Rank'!$K$11:$S$11,0))</f>
        <v>5.1121544079290558E-3</v>
      </c>
      <c r="G81" s="3">
        <f t="shared" si="8"/>
        <v>0.40897235263432447</v>
      </c>
      <c r="H81" s="5">
        <f t="shared" si="9"/>
        <v>12.678142931664059</v>
      </c>
      <c r="I81">
        <f t="shared" si="10"/>
        <v>2480</v>
      </c>
    </row>
    <row r="82" spans="1:9" x14ac:dyDescent="0.45">
      <c r="A82">
        <v>12</v>
      </c>
      <c r="B82">
        <v>350</v>
      </c>
      <c r="C82">
        <v>77</v>
      </c>
      <c r="D82">
        <f t="shared" si="11"/>
        <v>350</v>
      </c>
      <c r="E82">
        <f t="shared" si="12"/>
        <v>12</v>
      </c>
      <c r="F82" s="1">
        <f>INDEX('App-Click Conversion by Rank'!$K$12:$S$31,MATCH(E82,'App-Click Conversion by Rank'!$J$12:$J$31,0),MATCH(D82,'App-Click Conversion by Rank'!$K$11:$S$11,0))</f>
        <v>7.4384007438400741E-3</v>
      </c>
      <c r="G82" s="3">
        <f t="shared" si="8"/>
        <v>0.5727568572756857</v>
      </c>
      <c r="H82" s="5">
        <f t="shared" si="9"/>
        <v>6.8730822873082289</v>
      </c>
      <c r="I82">
        <f t="shared" si="10"/>
        <v>924</v>
      </c>
    </row>
    <row r="83" spans="1:9" x14ac:dyDescent="0.45">
      <c r="A83">
        <v>10</v>
      </c>
      <c r="B83">
        <v>550</v>
      </c>
      <c r="C83">
        <v>168</v>
      </c>
      <c r="D83" t="str">
        <f t="shared" si="11"/>
        <v>501+</v>
      </c>
      <c r="E83">
        <f t="shared" si="12"/>
        <v>10</v>
      </c>
      <c r="F83" s="1">
        <f>INDEX('App-Click Conversion by Rank'!$K$12:$S$31,MATCH(E83,'App-Click Conversion by Rank'!$J$12:$J$31,0),MATCH(D83,'App-Click Conversion by Rank'!$K$11:$S$11,0))</f>
        <v>7.1592210767468497E-3</v>
      </c>
      <c r="G83" s="3">
        <f t="shared" si="8"/>
        <v>1.2027491408934707</v>
      </c>
      <c r="H83" s="5">
        <f t="shared" si="9"/>
        <v>12.027491408934708</v>
      </c>
      <c r="I83">
        <f t="shared" si="10"/>
        <v>1680</v>
      </c>
    </row>
    <row r="84" spans="1:9" x14ac:dyDescent="0.45">
      <c r="A84">
        <v>24</v>
      </c>
      <c r="B84">
        <v>450</v>
      </c>
      <c r="C84">
        <v>69</v>
      </c>
      <c r="D84">
        <f t="shared" si="11"/>
        <v>450</v>
      </c>
      <c r="E84" t="str">
        <f t="shared" si="12"/>
        <v>20+</v>
      </c>
      <c r="F84" s="1">
        <f>INDEX('App-Click Conversion by Rank'!$K$12:$S$31,MATCH(E84,'App-Click Conversion by Rank'!$J$12:$J$31,0),MATCH(D84,'App-Click Conversion by Rank'!$K$11:$S$11,0))</f>
        <v>5.6022408963585435E-3</v>
      </c>
      <c r="G84" s="3">
        <f t="shared" si="8"/>
        <v>0.38655462184873951</v>
      </c>
      <c r="H84" s="5">
        <f t="shared" si="9"/>
        <v>9.2773109243697487</v>
      </c>
      <c r="I84">
        <f t="shared" si="10"/>
        <v>1656</v>
      </c>
    </row>
    <row r="85" spans="1:9" x14ac:dyDescent="0.45">
      <c r="A85">
        <v>3</v>
      </c>
      <c r="B85">
        <v>550</v>
      </c>
      <c r="C85">
        <v>23</v>
      </c>
      <c r="D85" t="str">
        <f t="shared" si="11"/>
        <v>501+</v>
      </c>
      <c r="E85">
        <f t="shared" si="12"/>
        <v>3</v>
      </c>
      <c r="F85" s="1">
        <f>INDEX('App-Click Conversion by Rank'!$K$12:$S$31,MATCH(E85,'App-Click Conversion by Rank'!$J$12:$J$31,0),MATCH(D85,'App-Click Conversion by Rank'!$K$11:$S$11,0))</f>
        <v>4.4627885979620793E-2</v>
      </c>
      <c r="G85" s="3">
        <f t="shared" si="8"/>
        <v>1.0264413775312782</v>
      </c>
      <c r="H85" s="5">
        <f t="shared" si="9"/>
        <v>3.0793241325938343</v>
      </c>
      <c r="I85">
        <f t="shared" si="10"/>
        <v>69</v>
      </c>
    </row>
    <row r="86" spans="1:9" x14ac:dyDescent="0.45">
      <c r="A86">
        <v>8</v>
      </c>
      <c r="B86">
        <v>550</v>
      </c>
      <c r="C86">
        <v>164</v>
      </c>
      <c r="D86" t="str">
        <f t="shared" si="11"/>
        <v>501+</v>
      </c>
      <c r="E86">
        <f t="shared" si="12"/>
        <v>8</v>
      </c>
      <c r="F86" s="1">
        <f>INDEX('App-Click Conversion by Rank'!$K$12:$S$31,MATCH(E86,'App-Click Conversion by Rank'!$J$12:$J$31,0),MATCH(D86,'App-Click Conversion by Rank'!$K$11:$S$11,0))</f>
        <v>1.0399562123700055E-2</v>
      </c>
      <c r="G86" s="3">
        <f t="shared" si="8"/>
        <v>1.705528188286809</v>
      </c>
      <c r="H86" s="5">
        <f t="shared" si="9"/>
        <v>13.644225506294472</v>
      </c>
      <c r="I86">
        <f t="shared" si="10"/>
        <v>1312</v>
      </c>
    </row>
    <row r="87" spans="1:9" x14ac:dyDescent="0.45">
      <c r="A87">
        <v>7</v>
      </c>
      <c r="B87">
        <v>250</v>
      </c>
      <c r="C87">
        <v>40</v>
      </c>
      <c r="D87">
        <f t="shared" si="11"/>
        <v>250</v>
      </c>
      <c r="E87">
        <f t="shared" si="12"/>
        <v>7</v>
      </c>
      <c r="F87" s="1">
        <f>INDEX('App-Click Conversion by Rank'!$K$12:$S$31,MATCH(E87,'App-Click Conversion by Rank'!$J$12:$J$31,0),MATCH(D87,'App-Click Conversion by Rank'!$K$11:$S$11,0))</f>
        <v>3.7137069547602972E-2</v>
      </c>
      <c r="G87" s="3">
        <f t="shared" si="8"/>
        <v>1.485482781904119</v>
      </c>
      <c r="H87" s="5">
        <f t="shared" si="9"/>
        <v>10.398379473328832</v>
      </c>
      <c r="I87">
        <f t="shared" si="10"/>
        <v>280</v>
      </c>
    </row>
    <row r="88" spans="1:9" x14ac:dyDescent="0.45">
      <c r="A88">
        <v>2</v>
      </c>
      <c r="B88">
        <v>250</v>
      </c>
      <c r="C88">
        <v>10</v>
      </c>
      <c r="D88">
        <f t="shared" si="11"/>
        <v>250</v>
      </c>
      <c r="E88">
        <f t="shared" si="12"/>
        <v>2</v>
      </c>
      <c r="F88" s="1">
        <f>INDEX('App-Click Conversion by Rank'!$K$12:$S$31,MATCH(E88,'App-Click Conversion by Rank'!$J$12:$J$31,0),MATCH(D88,'App-Click Conversion by Rank'!$K$11:$S$11,0))</f>
        <v>0.1417883861774136</v>
      </c>
      <c r="G88" s="3">
        <f t="shared" si="8"/>
        <v>1.4178838617741361</v>
      </c>
      <c r="H88" s="5">
        <f t="shared" si="9"/>
        <v>2.8357677235482721</v>
      </c>
      <c r="I88">
        <f t="shared" si="10"/>
        <v>20</v>
      </c>
    </row>
    <row r="89" spans="1:9" x14ac:dyDescent="0.45">
      <c r="A89">
        <v>18</v>
      </c>
      <c r="B89">
        <v>350</v>
      </c>
      <c r="C89">
        <v>12</v>
      </c>
      <c r="D89">
        <f t="shared" si="11"/>
        <v>350</v>
      </c>
      <c r="E89">
        <f t="shared" si="12"/>
        <v>18</v>
      </c>
      <c r="F89" s="1">
        <f>INDEX('App-Click Conversion by Rank'!$K$12:$S$31,MATCH(E89,'App-Click Conversion by Rank'!$J$12:$J$31,0),MATCH(D89,'App-Click Conversion by Rank'!$K$11:$S$11,0))</f>
        <v>2.859866539561487E-3</v>
      </c>
      <c r="G89" s="3">
        <f t="shared" si="8"/>
        <v>3.4318398474737846E-2</v>
      </c>
      <c r="H89" s="5">
        <f t="shared" si="9"/>
        <v>0.6177311725452812</v>
      </c>
      <c r="I89">
        <f t="shared" si="10"/>
        <v>216</v>
      </c>
    </row>
    <row r="90" spans="1:9" x14ac:dyDescent="0.45">
      <c r="A90">
        <v>1</v>
      </c>
      <c r="B90">
        <v>400</v>
      </c>
      <c r="C90">
        <v>29</v>
      </c>
      <c r="D90">
        <f t="shared" si="11"/>
        <v>400</v>
      </c>
      <c r="E90">
        <f t="shared" si="12"/>
        <v>1</v>
      </c>
      <c r="F90" s="1">
        <f>INDEX('App-Click Conversion by Rank'!$K$12:$S$31,MATCH(E90,'App-Click Conversion by Rank'!$J$12:$J$31,0),MATCH(D90,'App-Click Conversion by Rank'!$K$11:$S$11,0))</f>
        <v>0.18873271367036953</v>
      </c>
      <c r="G90" s="3">
        <f t="shared" si="8"/>
        <v>5.4732486964407165</v>
      </c>
      <c r="H90" s="5">
        <f t="shared" si="9"/>
        <v>5.4732486964407165</v>
      </c>
      <c r="I90">
        <f t="shared" si="10"/>
        <v>29</v>
      </c>
    </row>
    <row r="91" spans="1:9" x14ac:dyDescent="0.45">
      <c r="A91">
        <v>19</v>
      </c>
      <c r="B91">
        <v>350</v>
      </c>
      <c r="C91">
        <v>17</v>
      </c>
      <c r="D91">
        <f t="shared" si="11"/>
        <v>350</v>
      </c>
      <c r="E91">
        <f t="shared" si="12"/>
        <v>19</v>
      </c>
      <c r="F91" s="1">
        <f>INDEX('App-Click Conversion by Rank'!$K$12:$S$31,MATCH(E91,'App-Click Conversion by Rank'!$J$12:$J$31,0),MATCH(D91,'App-Click Conversion by Rank'!$K$11:$S$11,0))</f>
        <v>4.608294930875576E-3</v>
      </c>
      <c r="G91" s="3">
        <f t="shared" si="8"/>
        <v>7.8341013824884786E-2</v>
      </c>
      <c r="H91" s="5">
        <f t="shared" si="9"/>
        <v>1.4884792626728109</v>
      </c>
      <c r="I91">
        <f t="shared" si="10"/>
        <v>323</v>
      </c>
    </row>
    <row r="92" spans="1:9" x14ac:dyDescent="0.45">
      <c r="A92">
        <v>18</v>
      </c>
      <c r="B92">
        <v>600</v>
      </c>
      <c r="C92">
        <v>12</v>
      </c>
      <c r="D92" t="str">
        <f t="shared" si="11"/>
        <v>501+</v>
      </c>
      <c r="E92">
        <f t="shared" si="12"/>
        <v>18</v>
      </c>
      <c r="F92" s="1">
        <f>INDEX('App-Click Conversion by Rank'!$K$12:$S$31,MATCH(E92,'App-Click Conversion by Rank'!$J$12:$J$31,0),MATCH(D92,'App-Click Conversion by Rank'!$K$11:$S$11,0))</f>
        <v>2.0408163265306124E-3</v>
      </c>
      <c r="G92" s="3">
        <f t="shared" si="8"/>
        <v>2.4489795918367349E-2</v>
      </c>
      <c r="H92" s="5">
        <f t="shared" si="9"/>
        <v>0.44081632653061231</v>
      </c>
      <c r="I92">
        <f t="shared" si="10"/>
        <v>216</v>
      </c>
    </row>
    <row r="93" spans="1:9" x14ac:dyDescent="0.45">
      <c r="A93">
        <v>32</v>
      </c>
      <c r="B93">
        <v>450</v>
      </c>
      <c r="C93">
        <v>6</v>
      </c>
      <c r="D93">
        <f t="shared" si="11"/>
        <v>450</v>
      </c>
      <c r="E93" t="str">
        <f t="shared" si="12"/>
        <v>20+</v>
      </c>
      <c r="F93" s="1">
        <f>INDEX('App-Click Conversion by Rank'!$K$12:$S$31,MATCH(E93,'App-Click Conversion by Rank'!$J$12:$J$31,0),MATCH(D93,'App-Click Conversion by Rank'!$K$11:$S$11,0))</f>
        <v>5.6022408963585435E-3</v>
      </c>
      <c r="G93" s="3">
        <f t="shared" si="8"/>
        <v>3.3613445378151259E-2</v>
      </c>
      <c r="H93" s="5">
        <f t="shared" si="9"/>
        <v>1.0756302521008403</v>
      </c>
      <c r="I93">
        <f t="shared" si="10"/>
        <v>192</v>
      </c>
    </row>
    <row r="94" spans="1:9" x14ac:dyDescent="0.45">
      <c r="A94">
        <v>30</v>
      </c>
      <c r="B94">
        <v>400</v>
      </c>
      <c r="C94">
        <v>4</v>
      </c>
      <c r="D94">
        <f t="shared" si="11"/>
        <v>400</v>
      </c>
      <c r="E94" t="str">
        <f t="shared" si="12"/>
        <v>20+</v>
      </c>
      <c r="F94" s="1">
        <f>INDEX('App-Click Conversion by Rank'!$K$12:$S$31,MATCH(E94,'App-Click Conversion by Rank'!$J$12:$J$31,0),MATCH(D94,'App-Click Conversion by Rank'!$K$11:$S$11,0))</f>
        <v>6.4196625091709463E-3</v>
      </c>
      <c r="G94" s="3">
        <f t="shared" si="8"/>
        <v>2.5678650036683785E-2</v>
      </c>
      <c r="H94" s="5">
        <f t="shared" si="9"/>
        <v>0.77035950110051354</v>
      </c>
      <c r="I94">
        <f t="shared" si="10"/>
        <v>120</v>
      </c>
    </row>
    <row r="95" spans="1:9" x14ac:dyDescent="0.45">
      <c r="A95">
        <v>9</v>
      </c>
      <c r="B95">
        <v>200</v>
      </c>
      <c r="C95">
        <v>5</v>
      </c>
      <c r="D95">
        <f t="shared" si="11"/>
        <v>200</v>
      </c>
      <c r="E95">
        <f t="shared" si="12"/>
        <v>9</v>
      </c>
      <c r="F95" s="1">
        <f>INDEX('App-Click Conversion by Rank'!$K$12:$S$31,MATCH(E95,'App-Click Conversion by Rank'!$J$12:$J$31,0),MATCH(D95,'App-Click Conversion by Rank'!$K$11:$S$11,0))</f>
        <v>1.7595307917888565E-2</v>
      </c>
      <c r="G95" s="3">
        <f t="shared" si="8"/>
        <v>8.797653958944282E-2</v>
      </c>
      <c r="H95" s="5">
        <f t="shared" si="9"/>
        <v>0.79178885630498541</v>
      </c>
      <c r="I95">
        <f t="shared" si="10"/>
        <v>45</v>
      </c>
    </row>
    <row r="96" spans="1:9" x14ac:dyDescent="0.45">
      <c r="A96">
        <v>39</v>
      </c>
      <c r="B96">
        <v>600</v>
      </c>
      <c r="C96">
        <v>11</v>
      </c>
      <c r="D96" t="str">
        <f t="shared" si="11"/>
        <v>501+</v>
      </c>
      <c r="E96" t="str">
        <f t="shared" si="12"/>
        <v>20+</v>
      </c>
      <c r="F96" s="1">
        <f>INDEX('App-Click Conversion by Rank'!$K$12:$S$31,MATCH(E96,'App-Click Conversion by Rank'!$J$12:$J$31,0),MATCH(D96,'App-Click Conversion by Rank'!$K$11:$S$11,0))</f>
        <v>5.9893958237873931E-3</v>
      </c>
      <c r="G96" s="3">
        <f t="shared" si="8"/>
        <v>6.588335406166132E-2</v>
      </c>
      <c r="H96" s="5">
        <f t="shared" si="9"/>
        <v>2.5694508084047913</v>
      </c>
      <c r="I96">
        <f t="shared" si="10"/>
        <v>429</v>
      </c>
    </row>
    <row r="97" spans="1:9" x14ac:dyDescent="0.45">
      <c r="A97">
        <v>24</v>
      </c>
      <c r="B97">
        <v>350</v>
      </c>
      <c r="C97">
        <v>2</v>
      </c>
      <c r="D97">
        <f t="shared" si="11"/>
        <v>350</v>
      </c>
      <c r="E97" t="str">
        <f t="shared" si="12"/>
        <v>20+</v>
      </c>
      <c r="F97" s="1">
        <f>INDEX('App-Click Conversion by Rank'!$K$12:$S$31,MATCH(E97,'App-Click Conversion by Rank'!$J$12:$J$31,0),MATCH(D97,'App-Click Conversion by Rank'!$K$11:$S$11,0))</f>
        <v>4.1279669762641896E-3</v>
      </c>
      <c r="G97" s="3">
        <f t="shared" si="8"/>
        <v>8.2559339525283791E-3</v>
      </c>
      <c r="H97" s="5">
        <f t="shared" si="9"/>
        <v>0.1981424148606811</v>
      </c>
      <c r="I97">
        <f t="shared" si="10"/>
        <v>48</v>
      </c>
    </row>
    <row r="98" spans="1:9" x14ac:dyDescent="0.45">
      <c r="A98">
        <v>28</v>
      </c>
      <c r="B98">
        <v>400</v>
      </c>
      <c r="C98">
        <v>2</v>
      </c>
      <c r="D98">
        <f t="shared" si="11"/>
        <v>400</v>
      </c>
      <c r="E98" t="str">
        <f t="shared" si="12"/>
        <v>20+</v>
      </c>
      <c r="F98" s="1">
        <f>INDEX('App-Click Conversion by Rank'!$K$12:$S$31,MATCH(E98,'App-Click Conversion by Rank'!$J$12:$J$31,0),MATCH(D98,'App-Click Conversion by Rank'!$K$11:$S$11,0))</f>
        <v>6.4196625091709463E-3</v>
      </c>
      <c r="G98" s="3">
        <f t="shared" ref="G98:G117" si="13">C98*F98</f>
        <v>1.2839325018341893E-2</v>
      </c>
      <c r="H98" s="5">
        <f t="shared" ref="H98:H117" si="14">G98*A98</f>
        <v>0.35950110051357298</v>
      </c>
      <c r="I98">
        <f t="shared" ref="I98:I117" si="15">C98*A98</f>
        <v>56</v>
      </c>
    </row>
    <row r="99" spans="1:9" x14ac:dyDescent="0.45">
      <c r="A99">
        <v>13</v>
      </c>
      <c r="B99">
        <v>650</v>
      </c>
      <c r="C99">
        <v>2</v>
      </c>
      <c r="D99" t="str">
        <f t="shared" ref="D99:D117" si="16">IF(B99&lt;=150,"&lt;=150",IF(B99&gt;500,"501+",B99))</f>
        <v>501+</v>
      </c>
      <c r="E99">
        <f t="shared" ref="E99:E117" si="17">IF(A99&gt;=20,"20+",A99)</f>
        <v>13</v>
      </c>
      <c r="F99" s="1">
        <f>INDEX('App-Click Conversion by Rank'!$K$12:$S$31,MATCH(E99,'App-Click Conversion by Rank'!$J$12:$J$31,0),MATCH(D99,'App-Click Conversion by Rank'!$K$11:$S$11,0))</f>
        <v>3.8179596823457542E-3</v>
      </c>
      <c r="G99" s="3">
        <f t="shared" si="13"/>
        <v>7.6359193646915085E-3</v>
      </c>
      <c r="H99" s="5">
        <f t="shared" si="14"/>
        <v>9.9266951740989609E-2</v>
      </c>
      <c r="I99">
        <f t="shared" si="15"/>
        <v>26</v>
      </c>
    </row>
    <row r="100" spans="1:9" x14ac:dyDescent="0.45">
      <c r="A100">
        <v>11</v>
      </c>
      <c r="B100">
        <v>200</v>
      </c>
      <c r="C100">
        <v>4</v>
      </c>
      <c r="D100">
        <f t="shared" si="16"/>
        <v>200</v>
      </c>
      <c r="E100">
        <f t="shared" si="17"/>
        <v>11</v>
      </c>
      <c r="F100" s="1">
        <f>INDEX('App-Click Conversion by Rank'!$K$12:$S$31,MATCH(E100,'App-Click Conversion by Rank'!$J$12:$J$31,0),MATCH(D100,'App-Click Conversion by Rank'!$K$11:$S$11,0))</f>
        <v>1.8433179723502304E-2</v>
      </c>
      <c r="G100" s="3">
        <f t="shared" si="13"/>
        <v>7.3732718894009217E-2</v>
      </c>
      <c r="H100" s="5">
        <f t="shared" si="14"/>
        <v>0.81105990783410142</v>
      </c>
      <c r="I100">
        <f t="shared" si="15"/>
        <v>44</v>
      </c>
    </row>
    <row r="101" spans="1:9" x14ac:dyDescent="0.45">
      <c r="A101">
        <v>2</v>
      </c>
      <c r="B101">
        <v>50</v>
      </c>
      <c r="C101">
        <v>1</v>
      </c>
      <c r="D101" t="str">
        <f t="shared" si="16"/>
        <v>&lt;=150</v>
      </c>
      <c r="E101">
        <f t="shared" si="17"/>
        <v>2</v>
      </c>
      <c r="F101" s="1">
        <f>INDEX('App-Click Conversion by Rank'!$K$12:$S$31,MATCH(E101,'App-Click Conversion by Rank'!$J$12:$J$31,0),MATCH(D101,'App-Click Conversion by Rank'!$K$11:$S$11,0))</f>
        <v>0.14536340852130325</v>
      </c>
      <c r="G101" s="3">
        <f t="shared" si="13"/>
        <v>0.14536340852130325</v>
      </c>
      <c r="H101" s="5">
        <f t="shared" si="14"/>
        <v>0.2907268170426065</v>
      </c>
      <c r="I101">
        <f t="shared" si="15"/>
        <v>2</v>
      </c>
    </row>
    <row r="102" spans="1:9" x14ac:dyDescent="0.45">
      <c r="A102">
        <v>31</v>
      </c>
      <c r="B102">
        <v>300</v>
      </c>
      <c r="C102">
        <v>1</v>
      </c>
      <c r="D102">
        <f t="shared" si="16"/>
        <v>300</v>
      </c>
      <c r="E102" t="str">
        <f t="shared" si="17"/>
        <v>20+</v>
      </c>
      <c r="F102" s="1">
        <f>INDEX('App-Click Conversion by Rank'!$K$12:$S$31,MATCH(E102,'App-Click Conversion by Rank'!$J$12:$J$31,0),MATCH(D102,'App-Click Conversion by Rank'!$K$11:$S$11,0))</f>
        <v>4.5385779122541605E-3</v>
      </c>
      <c r="G102" s="3">
        <f t="shared" si="13"/>
        <v>4.5385779122541605E-3</v>
      </c>
      <c r="H102" s="5">
        <f t="shared" si="14"/>
        <v>0.14069591527987899</v>
      </c>
      <c r="I102">
        <f t="shared" si="15"/>
        <v>31</v>
      </c>
    </row>
    <row r="103" spans="1:9" x14ac:dyDescent="0.45">
      <c r="A103">
        <v>12</v>
      </c>
      <c r="B103">
        <v>150</v>
      </c>
      <c r="C103">
        <v>1</v>
      </c>
      <c r="D103" t="str">
        <f t="shared" si="16"/>
        <v>&lt;=150</v>
      </c>
      <c r="E103">
        <f t="shared" si="17"/>
        <v>12</v>
      </c>
      <c r="F103" s="1">
        <f>INDEX('App-Click Conversion by Rank'!$K$12:$S$31,MATCH(E103,'App-Click Conversion by Rank'!$J$12:$J$31,0),MATCH(D103,'App-Click Conversion by Rank'!$K$11:$S$11,0))</f>
        <v>6.6666666666666666E-2</v>
      </c>
      <c r="G103" s="3">
        <f t="shared" si="13"/>
        <v>6.6666666666666666E-2</v>
      </c>
      <c r="H103" s="5">
        <f t="shared" si="14"/>
        <v>0.8</v>
      </c>
      <c r="I103">
        <f t="shared" si="15"/>
        <v>12</v>
      </c>
    </row>
    <row r="104" spans="1:9" x14ac:dyDescent="0.45">
      <c r="A104">
        <v>19</v>
      </c>
      <c r="B104">
        <v>300</v>
      </c>
      <c r="C104">
        <v>1</v>
      </c>
      <c r="D104">
        <f t="shared" si="16"/>
        <v>300</v>
      </c>
      <c r="E104">
        <f t="shared" si="17"/>
        <v>19</v>
      </c>
      <c r="F104" s="1">
        <f>INDEX('App-Click Conversion by Rank'!$K$12:$S$31,MATCH(E104,'App-Click Conversion by Rank'!$J$12:$J$31,0),MATCH(D104,'App-Click Conversion by Rank'!$K$11:$S$11,0))</f>
        <v>9.7799511002444987E-3</v>
      </c>
      <c r="G104" s="3">
        <f t="shared" si="13"/>
        <v>9.7799511002444987E-3</v>
      </c>
      <c r="H104" s="5">
        <f t="shared" si="14"/>
        <v>0.18581907090464547</v>
      </c>
      <c r="I104">
        <f t="shared" si="15"/>
        <v>19</v>
      </c>
    </row>
    <row r="105" spans="1:9" x14ac:dyDescent="0.45">
      <c r="A105">
        <v>7</v>
      </c>
      <c r="B105">
        <v>450</v>
      </c>
      <c r="C105">
        <v>406</v>
      </c>
      <c r="D105">
        <f t="shared" si="16"/>
        <v>450</v>
      </c>
      <c r="E105">
        <f t="shared" si="17"/>
        <v>7</v>
      </c>
      <c r="F105" s="1">
        <f>INDEX('App-Click Conversion by Rank'!$K$12:$S$31,MATCH(E105,'App-Click Conversion by Rank'!$J$12:$J$31,0),MATCH(D105,'App-Click Conversion by Rank'!$K$11:$S$11,0))</f>
        <v>1.5087040618955513E-2</v>
      </c>
      <c r="G105" s="3">
        <f t="shared" si="13"/>
        <v>6.1253384912959383</v>
      </c>
      <c r="H105" s="5">
        <f t="shared" si="14"/>
        <v>42.877369439071572</v>
      </c>
      <c r="I105">
        <f t="shared" si="15"/>
        <v>2842</v>
      </c>
    </row>
    <row r="106" spans="1:9" x14ac:dyDescent="0.45">
      <c r="A106">
        <v>5</v>
      </c>
      <c r="B106">
        <v>400</v>
      </c>
      <c r="C106">
        <v>193</v>
      </c>
      <c r="D106">
        <f t="shared" si="16"/>
        <v>400</v>
      </c>
      <c r="E106">
        <f t="shared" si="17"/>
        <v>5</v>
      </c>
      <c r="F106" s="1">
        <f>INDEX('App-Click Conversion by Rank'!$K$12:$S$31,MATCH(E106,'App-Click Conversion by Rank'!$J$12:$J$31,0),MATCH(D106,'App-Click Conversion by Rank'!$K$11:$S$11,0))</f>
        <v>2.8956565152271591E-2</v>
      </c>
      <c r="G106" s="3">
        <f t="shared" si="13"/>
        <v>5.5886170743884174</v>
      </c>
      <c r="H106" s="5">
        <f t="shared" si="14"/>
        <v>27.943085371942086</v>
      </c>
      <c r="I106">
        <f t="shared" si="15"/>
        <v>965</v>
      </c>
    </row>
    <row r="107" spans="1:9" x14ac:dyDescent="0.45">
      <c r="A107">
        <v>14</v>
      </c>
      <c r="B107">
        <v>550</v>
      </c>
      <c r="C107">
        <v>261</v>
      </c>
      <c r="D107" t="str">
        <f t="shared" si="16"/>
        <v>501+</v>
      </c>
      <c r="E107">
        <f t="shared" si="17"/>
        <v>14</v>
      </c>
      <c r="F107" s="1">
        <f>INDEX('App-Click Conversion by Rank'!$K$12:$S$31,MATCH(E107,'App-Click Conversion by Rank'!$J$12:$J$31,0),MATCH(D107,'App-Click Conversion by Rank'!$K$11:$S$11,0))</f>
        <v>3.5937500000000002E-3</v>
      </c>
      <c r="G107" s="3">
        <f t="shared" si="13"/>
        <v>0.93796875000000002</v>
      </c>
      <c r="H107" s="5">
        <f t="shared" si="14"/>
        <v>13.131562500000001</v>
      </c>
      <c r="I107">
        <f t="shared" si="15"/>
        <v>3654</v>
      </c>
    </row>
    <row r="108" spans="1:9" x14ac:dyDescent="0.45">
      <c r="A108">
        <v>23</v>
      </c>
      <c r="B108">
        <v>450</v>
      </c>
      <c r="C108">
        <v>103</v>
      </c>
      <c r="D108">
        <f t="shared" si="16"/>
        <v>450</v>
      </c>
      <c r="E108" t="str">
        <f t="shared" si="17"/>
        <v>20+</v>
      </c>
      <c r="F108" s="1">
        <f>INDEX('App-Click Conversion by Rank'!$K$12:$S$31,MATCH(E108,'App-Click Conversion by Rank'!$J$12:$J$31,0),MATCH(D108,'App-Click Conversion by Rank'!$K$11:$S$11,0))</f>
        <v>5.6022408963585435E-3</v>
      </c>
      <c r="G108" s="3">
        <f t="shared" si="13"/>
        <v>0.57703081232493003</v>
      </c>
      <c r="H108" s="5">
        <f t="shared" si="14"/>
        <v>13.27170868347339</v>
      </c>
      <c r="I108">
        <f t="shared" si="15"/>
        <v>2369</v>
      </c>
    </row>
    <row r="109" spans="1:9" x14ac:dyDescent="0.45">
      <c r="A109">
        <v>23</v>
      </c>
      <c r="B109">
        <v>500</v>
      </c>
      <c r="C109">
        <v>240</v>
      </c>
      <c r="D109">
        <f t="shared" si="16"/>
        <v>500</v>
      </c>
      <c r="E109" t="str">
        <f t="shared" si="17"/>
        <v>20+</v>
      </c>
      <c r="F109" s="1">
        <f>INDEX('App-Click Conversion by Rank'!$K$12:$S$31,MATCH(E109,'App-Click Conversion by Rank'!$J$12:$J$31,0),MATCH(D109,'App-Click Conversion by Rank'!$K$11:$S$11,0))</f>
        <v>5.1121544079290558E-3</v>
      </c>
      <c r="G109" s="3">
        <f t="shared" si="13"/>
        <v>1.2269170579029733</v>
      </c>
      <c r="H109" s="5">
        <f t="shared" si="14"/>
        <v>28.219092331768387</v>
      </c>
      <c r="I109">
        <f t="shared" si="15"/>
        <v>5520</v>
      </c>
    </row>
    <row r="110" spans="1:9" x14ac:dyDescent="0.45">
      <c r="A110">
        <v>25</v>
      </c>
      <c r="B110">
        <v>450</v>
      </c>
      <c r="C110">
        <v>51</v>
      </c>
      <c r="D110">
        <f t="shared" si="16"/>
        <v>450</v>
      </c>
      <c r="E110" t="str">
        <f t="shared" si="17"/>
        <v>20+</v>
      </c>
      <c r="F110" s="1">
        <f>INDEX('App-Click Conversion by Rank'!$K$12:$S$31,MATCH(E110,'App-Click Conversion by Rank'!$J$12:$J$31,0),MATCH(D110,'App-Click Conversion by Rank'!$K$11:$S$11,0))</f>
        <v>5.6022408963585435E-3</v>
      </c>
      <c r="G110" s="3">
        <f t="shared" si="13"/>
        <v>0.2857142857142857</v>
      </c>
      <c r="H110" s="5">
        <f t="shared" si="14"/>
        <v>7.1428571428571423</v>
      </c>
      <c r="I110">
        <f t="shared" si="15"/>
        <v>1275</v>
      </c>
    </row>
    <row r="111" spans="1:9" x14ac:dyDescent="0.45">
      <c r="A111">
        <v>24</v>
      </c>
      <c r="B111">
        <v>550</v>
      </c>
      <c r="C111">
        <v>188</v>
      </c>
      <c r="D111" t="str">
        <f t="shared" si="16"/>
        <v>501+</v>
      </c>
      <c r="E111" t="str">
        <f t="shared" si="17"/>
        <v>20+</v>
      </c>
      <c r="F111" s="1">
        <f>INDEX('App-Click Conversion by Rank'!$K$12:$S$31,MATCH(E111,'App-Click Conversion by Rank'!$J$12:$J$31,0),MATCH(D111,'App-Click Conversion by Rank'!$K$11:$S$11,0))</f>
        <v>5.9893958237873931E-3</v>
      </c>
      <c r="G111" s="3">
        <f t="shared" si="13"/>
        <v>1.1260064148720299</v>
      </c>
      <c r="H111" s="5">
        <f t="shared" si="14"/>
        <v>27.024153956928718</v>
      </c>
      <c r="I111">
        <f t="shared" si="15"/>
        <v>4512</v>
      </c>
    </row>
    <row r="112" spans="1:9" x14ac:dyDescent="0.45">
      <c r="A112">
        <v>26</v>
      </c>
      <c r="B112">
        <v>550</v>
      </c>
      <c r="C112">
        <v>199</v>
      </c>
      <c r="D112" t="str">
        <f t="shared" si="16"/>
        <v>501+</v>
      </c>
      <c r="E112" t="str">
        <f t="shared" si="17"/>
        <v>20+</v>
      </c>
      <c r="F112" s="1">
        <f>INDEX('App-Click Conversion by Rank'!$K$12:$S$31,MATCH(E112,'App-Click Conversion by Rank'!$J$12:$J$31,0),MATCH(D112,'App-Click Conversion by Rank'!$K$11:$S$11,0))</f>
        <v>5.9893958237873931E-3</v>
      </c>
      <c r="G112" s="3">
        <f t="shared" si="13"/>
        <v>1.1918897689336911</v>
      </c>
      <c r="H112" s="5">
        <f t="shared" si="14"/>
        <v>30.989133992275971</v>
      </c>
      <c r="I112">
        <f t="shared" si="15"/>
        <v>5174</v>
      </c>
    </row>
    <row r="113" spans="1:9" x14ac:dyDescent="0.45">
      <c r="A113">
        <v>11</v>
      </c>
      <c r="B113">
        <v>300</v>
      </c>
      <c r="C113">
        <v>57</v>
      </c>
      <c r="D113">
        <f t="shared" si="16"/>
        <v>300</v>
      </c>
      <c r="E113">
        <f t="shared" si="17"/>
        <v>11</v>
      </c>
      <c r="F113" s="1">
        <f>INDEX('App-Click Conversion by Rank'!$K$12:$S$31,MATCH(E113,'App-Click Conversion by Rank'!$J$12:$J$31,0),MATCH(D113,'App-Click Conversion by Rank'!$K$11:$S$11,0))</f>
        <v>1.0526315789473684E-2</v>
      </c>
      <c r="G113" s="3">
        <f t="shared" si="13"/>
        <v>0.6</v>
      </c>
      <c r="H113" s="5">
        <f t="shared" si="14"/>
        <v>6.6</v>
      </c>
      <c r="I113">
        <f t="shared" si="15"/>
        <v>627</v>
      </c>
    </row>
    <row r="114" spans="1:9" x14ac:dyDescent="0.45">
      <c r="A114">
        <v>26</v>
      </c>
      <c r="B114">
        <v>500</v>
      </c>
      <c r="C114">
        <v>206</v>
      </c>
      <c r="D114">
        <f t="shared" si="16"/>
        <v>500</v>
      </c>
      <c r="E114" t="str">
        <f t="shared" si="17"/>
        <v>20+</v>
      </c>
      <c r="F114" s="1">
        <f>INDEX('App-Click Conversion by Rank'!$K$12:$S$31,MATCH(E114,'App-Click Conversion by Rank'!$J$12:$J$31,0),MATCH(D114,'App-Click Conversion by Rank'!$K$11:$S$11,0))</f>
        <v>5.1121544079290558E-3</v>
      </c>
      <c r="G114" s="3">
        <f t="shared" si="13"/>
        <v>1.0531038080333854</v>
      </c>
      <c r="H114" s="5">
        <f t="shared" si="14"/>
        <v>27.380699008868021</v>
      </c>
      <c r="I114">
        <f t="shared" si="15"/>
        <v>5356</v>
      </c>
    </row>
    <row r="115" spans="1:9" x14ac:dyDescent="0.45">
      <c r="A115">
        <v>14</v>
      </c>
      <c r="B115">
        <v>500</v>
      </c>
      <c r="C115">
        <v>455</v>
      </c>
      <c r="D115">
        <f t="shared" si="16"/>
        <v>500</v>
      </c>
      <c r="E115">
        <f t="shared" si="17"/>
        <v>14</v>
      </c>
      <c r="F115" s="1">
        <f>INDEX('App-Click Conversion by Rank'!$K$12:$S$31,MATCH(E115,'App-Click Conversion by Rank'!$J$12:$J$31,0),MATCH(D115,'App-Click Conversion by Rank'!$K$11:$S$11,0))</f>
        <v>4.8089420327527945E-3</v>
      </c>
      <c r="G115" s="3">
        <f t="shared" si="13"/>
        <v>2.1880686249025216</v>
      </c>
      <c r="H115" s="5">
        <f t="shared" si="14"/>
        <v>30.632960748635302</v>
      </c>
      <c r="I115">
        <f t="shared" si="15"/>
        <v>6370</v>
      </c>
    </row>
    <row r="116" spans="1:9" x14ac:dyDescent="0.45">
      <c r="A116">
        <v>12</v>
      </c>
      <c r="B116">
        <v>600</v>
      </c>
      <c r="C116">
        <v>13</v>
      </c>
      <c r="D116" t="str">
        <f t="shared" si="16"/>
        <v>501+</v>
      </c>
      <c r="E116">
        <f t="shared" si="17"/>
        <v>12</v>
      </c>
      <c r="F116" s="1">
        <f>INDEX('App-Click Conversion by Rank'!$K$12:$S$31,MATCH(E116,'App-Click Conversion by Rank'!$J$12:$J$31,0),MATCH(D116,'App-Click Conversion by Rank'!$K$11:$S$11,0))</f>
        <v>4.3071439180157435E-3</v>
      </c>
      <c r="G116" s="3">
        <f t="shared" si="13"/>
        <v>5.5992870934204665E-2</v>
      </c>
      <c r="H116" s="5">
        <f t="shared" si="14"/>
        <v>0.67191445121045601</v>
      </c>
      <c r="I116">
        <f t="shared" si="15"/>
        <v>156</v>
      </c>
    </row>
    <row r="117" spans="1:9" x14ac:dyDescent="0.45">
      <c r="A117">
        <v>11</v>
      </c>
      <c r="B117">
        <v>450</v>
      </c>
      <c r="C117">
        <v>353</v>
      </c>
      <c r="D117">
        <f t="shared" si="16"/>
        <v>450</v>
      </c>
      <c r="E117">
        <f t="shared" si="17"/>
        <v>11</v>
      </c>
      <c r="F117" s="1">
        <f>INDEX('App-Click Conversion by Rank'!$K$12:$S$31,MATCH(E117,'App-Click Conversion by Rank'!$J$12:$J$31,0),MATCH(D117,'App-Click Conversion by Rank'!$K$11:$S$11,0))</f>
        <v>5.3763440860215058E-3</v>
      </c>
      <c r="G117" s="3">
        <f t="shared" si="13"/>
        <v>1.8978494623655915</v>
      </c>
      <c r="H117" s="5">
        <f t="shared" si="14"/>
        <v>20.876344086021508</v>
      </c>
      <c r="I117">
        <f t="shared" si="15"/>
        <v>3883</v>
      </c>
    </row>
    <row r="118" spans="1:9" x14ac:dyDescent="0.45">
      <c r="A118">
        <v>14</v>
      </c>
      <c r="B118">
        <v>450</v>
      </c>
      <c r="C118">
        <v>294</v>
      </c>
      <c r="D118">
        <f t="shared" ref="D118:D181" si="18">IF(B118&lt;=150,"&lt;=150",IF(B118&gt;500,"501+",B118))</f>
        <v>450</v>
      </c>
      <c r="E118">
        <f t="shared" ref="E118:E181" si="19">IF(A118&gt;=20,"20+",A118)</f>
        <v>14</v>
      </c>
      <c r="F118" s="1">
        <f>INDEX('App-Click Conversion by Rank'!$K$12:$S$31,MATCH(E118,'App-Click Conversion by Rank'!$J$12:$J$31,0),MATCH(D118,'App-Click Conversion by Rank'!$K$11:$S$11,0))</f>
        <v>3.8513383400731755E-3</v>
      </c>
      <c r="G118" s="3">
        <f t="shared" ref="G118:G181" si="20">C118*F118</f>
        <v>1.1322934719815136</v>
      </c>
      <c r="H118" s="5">
        <f t="shared" ref="H118:H181" si="21">G118*A118</f>
        <v>15.85210860774119</v>
      </c>
      <c r="I118">
        <f t="shared" ref="I118:I181" si="22">C118*A118</f>
        <v>4116</v>
      </c>
    </row>
    <row r="119" spans="1:9" x14ac:dyDescent="0.45">
      <c r="A119">
        <v>26</v>
      </c>
      <c r="B119">
        <v>450</v>
      </c>
      <c r="C119">
        <v>68</v>
      </c>
      <c r="D119">
        <f t="shared" si="18"/>
        <v>450</v>
      </c>
      <c r="E119" t="str">
        <f t="shared" si="19"/>
        <v>20+</v>
      </c>
      <c r="F119" s="1">
        <f>INDEX('App-Click Conversion by Rank'!$K$12:$S$31,MATCH(E119,'App-Click Conversion by Rank'!$J$12:$J$31,0),MATCH(D119,'App-Click Conversion by Rank'!$K$11:$S$11,0))</f>
        <v>5.6022408963585435E-3</v>
      </c>
      <c r="G119" s="3">
        <f t="shared" si="20"/>
        <v>0.38095238095238093</v>
      </c>
      <c r="H119" s="5">
        <f t="shared" si="21"/>
        <v>9.9047619047619051</v>
      </c>
      <c r="I119">
        <f t="shared" si="22"/>
        <v>1768</v>
      </c>
    </row>
    <row r="120" spans="1:9" x14ac:dyDescent="0.45">
      <c r="A120">
        <v>8</v>
      </c>
      <c r="B120">
        <v>350</v>
      </c>
      <c r="C120">
        <v>154</v>
      </c>
      <c r="D120">
        <f t="shared" si="18"/>
        <v>350</v>
      </c>
      <c r="E120">
        <f t="shared" si="19"/>
        <v>8</v>
      </c>
      <c r="F120" s="1">
        <f>INDEX('App-Click Conversion by Rank'!$K$12:$S$31,MATCH(E120,'App-Click Conversion by Rank'!$J$12:$J$31,0),MATCH(D120,'App-Click Conversion by Rank'!$K$11:$S$11,0))</f>
        <v>1.5720524017467249E-2</v>
      </c>
      <c r="G120" s="3">
        <f t="shared" si="20"/>
        <v>2.4209606986899566</v>
      </c>
      <c r="H120" s="5">
        <f t="shared" si="21"/>
        <v>19.367685589519652</v>
      </c>
      <c r="I120">
        <f t="shared" si="22"/>
        <v>1232</v>
      </c>
    </row>
    <row r="121" spans="1:9" x14ac:dyDescent="0.45">
      <c r="A121">
        <v>31</v>
      </c>
      <c r="B121">
        <v>550</v>
      </c>
      <c r="C121">
        <v>123</v>
      </c>
      <c r="D121" t="str">
        <f t="shared" si="18"/>
        <v>501+</v>
      </c>
      <c r="E121" t="str">
        <f t="shared" si="19"/>
        <v>20+</v>
      </c>
      <c r="F121" s="1">
        <f>INDEX('App-Click Conversion by Rank'!$K$12:$S$31,MATCH(E121,'App-Click Conversion by Rank'!$J$12:$J$31,0),MATCH(D121,'App-Click Conversion by Rank'!$K$11:$S$11,0))</f>
        <v>5.9893958237873931E-3</v>
      </c>
      <c r="G121" s="3">
        <f t="shared" si="20"/>
        <v>0.73669568632584936</v>
      </c>
      <c r="H121" s="5">
        <f t="shared" si="21"/>
        <v>22.837566276101331</v>
      </c>
      <c r="I121">
        <f t="shared" si="22"/>
        <v>3813</v>
      </c>
    </row>
    <row r="122" spans="1:9" x14ac:dyDescent="0.45">
      <c r="A122">
        <v>13</v>
      </c>
      <c r="B122">
        <v>600</v>
      </c>
      <c r="C122">
        <v>22</v>
      </c>
      <c r="D122" t="str">
        <f t="shared" si="18"/>
        <v>501+</v>
      </c>
      <c r="E122">
        <f t="shared" si="19"/>
        <v>13</v>
      </c>
      <c r="F122" s="1">
        <f>INDEX('App-Click Conversion by Rank'!$K$12:$S$31,MATCH(E122,'App-Click Conversion by Rank'!$J$12:$J$31,0),MATCH(D122,'App-Click Conversion by Rank'!$K$11:$S$11,0))</f>
        <v>3.8179596823457542E-3</v>
      </c>
      <c r="G122" s="3">
        <f t="shared" si="20"/>
        <v>8.3995113011606587E-2</v>
      </c>
      <c r="H122" s="5">
        <f t="shared" si="21"/>
        <v>1.0919364691508857</v>
      </c>
      <c r="I122">
        <f t="shared" si="22"/>
        <v>286</v>
      </c>
    </row>
    <row r="123" spans="1:9" x14ac:dyDescent="0.45">
      <c r="A123">
        <v>22</v>
      </c>
      <c r="B123">
        <v>350</v>
      </c>
      <c r="C123">
        <v>13</v>
      </c>
      <c r="D123">
        <f t="shared" si="18"/>
        <v>350</v>
      </c>
      <c r="E123" t="str">
        <f t="shared" si="19"/>
        <v>20+</v>
      </c>
      <c r="F123" s="1">
        <f>INDEX('App-Click Conversion by Rank'!$K$12:$S$31,MATCH(E123,'App-Click Conversion by Rank'!$J$12:$J$31,0),MATCH(D123,'App-Click Conversion by Rank'!$K$11:$S$11,0))</f>
        <v>4.1279669762641896E-3</v>
      </c>
      <c r="G123" s="3">
        <f t="shared" si="20"/>
        <v>5.3663570691434466E-2</v>
      </c>
      <c r="H123" s="5">
        <f t="shared" si="21"/>
        <v>1.1805985552115583</v>
      </c>
      <c r="I123">
        <f t="shared" si="22"/>
        <v>286</v>
      </c>
    </row>
    <row r="124" spans="1:9" x14ac:dyDescent="0.45">
      <c r="A124">
        <v>16</v>
      </c>
      <c r="B124">
        <v>350</v>
      </c>
      <c r="C124">
        <v>8</v>
      </c>
      <c r="D124">
        <f t="shared" si="18"/>
        <v>350</v>
      </c>
      <c r="E124">
        <f t="shared" si="19"/>
        <v>16</v>
      </c>
      <c r="F124" s="1">
        <f>INDEX('App-Click Conversion by Rank'!$K$12:$S$31,MATCH(E124,'App-Click Conversion by Rank'!$J$12:$J$31,0),MATCH(D124,'App-Click Conversion by Rank'!$K$11:$S$11,0))</f>
        <v>2.2658610271903325E-3</v>
      </c>
      <c r="G124" s="3">
        <f t="shared" si="20"/>
        <v>1.812688821752266E-2</v>
      </c>
      <c r="H124" s="5">
        <f t="shared" si="21"/>
        <v>0.29003021148036257</v>
      </c>
      <c r="I124">
        <f t="shared" si="22"/>
        <v>128</v>
      </c>
    </row>
    <row r="125" spans="1:9" x14ac:dyDescent="0.45">
      <c r="A125">
        <v>37</v>
      </c>
      <c r="B125">
        <v>500</v>
      </c>
      <c r="C125">
        <v>19</v>
      </c>
      <c r="D125">
        <f t="shared" si="18"/>
        <v>500</v>
      </c>
      <c r="E125" t="str">
        <f t="shared" si="19"/>
        <v>20+</v>
      </c>
      <c r="F125" s="1">
        <f>INDEX('App-Click Conversion by Rank'!$K$12:$S$31,MATCH(E125,'App-Click Conversion by Rank'!$J$12:$J$31,0),MATCH(D125,'App-Click Conversion by Rank'!$K$11:$S$11,0))</f>
        <v>5.1121544079290558E-3</v>
      </c>
      <c r="G125" s="3">
        <f t="shared" si="20"/>
        <v>9.7130933750652057E-2</v>
      </c>
      <c r="H125" s="5">
        <f t="shared" si="21"/>
        <v>3.593844548774126</v>
      </c>
      <c r="I125">
        <f t="shared" si="22"/>
        <v>703</v>
      </c>
    </row>
    <row r="126" spans="1:9" x14ac:dyDescent="0.45">
      <c r="A126">
        <v>31</v>
      </c>
      <c r="B126">
        <v>450</v>
      </c>
      <c r="C126">
        <v>25</v>
      </c>
      <c r="D126">
        <f t="shared" si="18"/>
        <v>450</v>
      </c>
      <c r="E126" t="str">
        <f t="shared" si="19"/>
        <v>20+</v>
      </c>
      <c r="F126" s="1">
        <f>INDEX('App-Click Conversion by Rank'!$K$12:$S$31,MATCH(E126,'App-Click Conversion by Rank'!$J$12:$J$31,0),MATCH(D126,'App-Click Conversion by Rank'!$K$11:$S$11,0))</f>
        <v>5.6022408963585435E-3</v>
      </c>
      <c r="G126" s="3">
        <f t="shared" si="20"/>
        <v>0.14005602240896359</v>
      </c>
      <c r="H126" s="5">
        <f t="shared" si="21"/>
        <v>4.3417366946778708</v>
      </c>
      <c r="I126">
        <f t="shared" si="22"/>
        <v>775</v>
      </c>
    </row>
    <row r="127" spans="1:9" x14ac:dyDescent="0.45">
      <c r="A127">
        <v>32</v>
      </c>
      <c r="B127">
        <v>600</v>
      </c>
      <c r="C127">
        <v>15</v>
      </c>
      <c r="D127" t="str">
        <f t="shared" si="18"/>
        <v>501+</v>
      </c>
      <c r="E127" t="str">
        <f t="shared" si="19"/>
        <v>20+</v>
      </c>
      <c r="F127" s="1">
        <f>INDEX('App-Click Conversion by Rank'!$K$12:$S$31,MATCH(E127,'App-Click Conversion by Rank'!$J$12:$J$31,0),MATCH(D127,'App-Click Conversion by Rank'!$K$11:$S$11,0))</f>
        <v>5.9893958237873931E-3</v>
      </c>
      <c r="G127" s="3">
        <f t="shared" si="20"/>
        <v>8.9840937356810896E-2</v>
      </c>
      <c r="H127" s="5">
        <f t="shared" si="21"/>
        <v>2.8749099954179487</v>
      </c>
      <c r="I127">
        <f t="shared" si="22"/>
        <v>480</v>
      </c>
    </row>
    <row r="128" spans="1:9" x14ac:dyDescent="0.45">
      <c r="A128">
        <v>42</v>
      </c>
      <c r="B128">
        <v>550</v>
      </c>
      <c r="C128">
        <v>2</v>
      </c>
      <c r="D128" t="str">
        <f t="shared" si="18"/>
        <v>501+</v>
      </c>
      <c r="E128" t="str">
        <f t="shared" si="19"/>
        <v>20+</v>
      </c>
      <c r="F128" s="1">
        <f>INDEX('App-Click Conversion by Rank'!$K$12:$S$31,MATCH(E128,'App-Click Conversion by Rank'!$J$12:$J$31,0),MATCH(D128,'App-Click Conversion by Rank'!$K$11:$S$11,0))</f>
        <v>5.9893958237873931E-3</v>
      </c>
      <c r="G128" s="3">
        <f t="shared" si="20"/>
        <v>1.1978791647574786E-2</v>
      </c>
      <c r="H128" s="5">
        <f t="shared" si="21"/>
        <v>0.50310924919814104</v>
      </c>
      <c r="I128">
        <f t="shared" si="22"/>
        <v>84</v>
      </c>
    </row>
    <row r="129" spans="1:9" x14ac:dyDescent="0.45">
      <c r="A129">
        <v>24</v>
      </c>
      <c r="B129">
        <v>650</v>
      </c>
      <c r="C129">
        <v>2</v>
      </c>
      <c r="D129" t="str">
        <f t="shared" si="18"/>
        <v>501+</v>
      </c>
      <c r="E129" t="str">
        <f t="shared" si="19"/>
        <v>20+</v>
      </c>
      <c r="F129" s="1">
        <f>INDEX('App-Click Conversion by Rank'!$K$12:$S$31,MATCH(E129,'App-Click Conversion by Rank'!$J$12:$J$31,0),MATCH(D129,'App-Click Conversion by Rank'!$K$11:$S$11,0))</f>
        <v>5.9893958237873931E-3</v>
      </c>
      <c r="G129" s="3">
        <f t="shared" si="20"/>
        <v>1.1978791647574786E-2</v>
      </c>
      <c r="H129" s="5">
        <f t="shared" si="21"/>
        <v>0.28749099954179486</v>
      </c>
      <c r="I129">
        <f t="shared" si="22"/>
        <v>48</v>
      </c>
    </row>
    <row r="130" spans="1:9" x14ac:dyDescent="0.45">
      <c r="A130">
        <v>19</v>
      </c>
      <c r="B130">
        <v>650</v>
      </c>
      <c r="C130">
        <v>2</v>
      </c>
      <c r="D130" t="str">
        <f t="shared" si="18"/>
        <v>501+</v>
      </c>
      <c r="E130">
        <f t="shared" si="19"/>
        <v>19</v>
      </c>
      <c r="F130" s="1">
        <f>INDEX('App-Click Conversion by Rank'!$K$12:$S$31,MATCH(E130,'App-Click Conversion by Rank'!$J$12:$J$31,0),MATCH(D130,'App-Click Conversion by Rank'!$K$11:$S$11,0))</f>
        <v>2.8030833917309038E-3</v>
      </c>
      <c r="G130" s="3">
        <f t="shared" si="20"/>
        <v>5.6061667834618077E-3</v>
      </c>
      <c r="H130" s="5">
        <f t="shared" si="21"/>
        <v>0.10651716888577435</v>
      </c>
      <c r="I130">
        <f t="shared" si="22"/>
        <v>38</v>
      </c>
    </row>
    <row r="131" spans="1:9" x14ac:dyDescent="0.45">
      <c r="A131">
        <v>34</v>
      </c>
      <c r="B131">
        <v>450</v>
      </c>
      <c r="C131">
        <v>1</v>
      </c>
      <c r="D131">
        <f t="shared" si="18"/>
        <v>450</v>
      </c>
      <c r="E131" t="str">
        <f t="shared" si="19"/>
        <v>20+</v>
      </c>
      <c r="F131" s="1">
        <f>INDEX('App-Click Conversion by Rank'!$K$12:$S$31,MATCH(E131,'App-Click Conversion by Rank'!$J$12:$J$31,0),MATCH(D131,'App-Click Conversion by Rank'!$K$11:$S$11,0))</f>
        <v>5.6022408963585435E-3</v>
      </c>
      <c r="G131" s="3">
        <f t="shared" si="20"/>
        <v>5.6022408963585435E-3</v>
      </c>
      <c r="H131" s="5">
        <f t="shared" si="21"/>
        <v>0.19047619047619047</v>
      </c>
      <c r="I131">
        <f t="shared" si="22"/>
        <v>34</v>
      </c>
    </row>
    <row r="132" spans="1:9" x14ac:dyDescent="0.45">
      <c r="A132">
        <v>18</v>
      </c>
      <c r="B132">
        <v>650</v>
      </c>
      <c r="C132">
        <v>1</v>
      </c>
      <c r="D132" t="str">
        <f t="shared" si="18"/>
        <v>501+</v>
      </c>
      <c r="E132">
        <f t="shared" si="19"/>
        <v>18</v>
      </c>
      <c r="F132" s="1">
        <f>INDEX('App-Click Conversion by Rank'!$K$12:$S$31,MATCH(E132,'App-Click Conversion by Rank'!$J$12:$J$31,0),MATCH(D132,'App-Click Conversion by Rank'!$K$11:$S$11,0))</f>
        <v>2.0408163265306124E-3</v>
      </c>
      <c r="G132" s="3">
        <f t="shared" si="20"/>
        <v>2.0408163265306124E-3</v>
      </c>
      <c r="H132" s="5">
        <f t="shared" si="21"/>
        <v>3.6734693877551024E-2</v>
      </c>
      <c r="I132">
        <f t="shared" si="22"/>
        <v>18</v>
      </c>
    </row>
    <row r="133" spans="1:9" x14ac:dyDescent="0.45">
      <c r="A133">
        <v>37</v>
      </c>
      <c r="B133">
        <v>350</v>
      </c>
      <c r="C133">
        <v>1</v>
      </c>
      <c r="D133">
        <f t="shared" si="18"/>
        <v>350</v>
      </c>
      <c r="E133" t="str">
        <f t="shared" si="19"/>
        <v>20+</v>
      </c>
      <c r="F133" s="1">
        <f>INDEX('App-Click Conversion by Rank'!$K$12:$S$31,MATCH(E133,'App-Click Conversion by Rank'!$J$12:$J$31,0),MATCH(D133,'App-Click Conversion by Rank'!$K$11:$S$11,0))</f>
        <v>4.1279669762641896E-3</v>
      </c>
      <c r="G133" s="3">
        <f t="shared" si="20"/>
        <v>4.1279669762641896E-3</v>
      </c>
      <c r="H133" s="5">
        <f t="shared" si="21"/>
        <v>0.15273477812177502</v>
      </c>
      <c r="I133">
        <f t="shared" si="22"/>
        <v>37</v>
      </c>
    </row>
    <row r="134" spans="1:9" x14ac:dyDescent="0.45">
      <c r="A134">
        <v>12</v>
      </c>
      <c r="B134">
        <v>650</v>
      </c>
      <c r="C134">
        <v>1</v>
      </c>
      <c r="D134" t="str">
        <f t="shared" si="18"/>
        <v>501+</v>
      </c>
      <c r="E134">
        <f t="shared" si="19"/>
        <v>12</v>
      </c>
      <c r="F134" s="1">
        <f>INDEX('App-Click Conversion by Rank'!$K$12:$S$31,MATCH(E134,'App-Click Conversion by Rank'!$J$12:$J$31,0),MATCH(D134,'App-Click Conversion by Rank'!$K$11:$S$11,0))</f>
        <v>4.3071439180157435E-3</v>
      </c>
      <c r="G134" s="3">
        <f t="shared" si="20"/>
        <v>4.3071439180157435E-3</v>
      </c>
      <c r="H134" s="5">
        <f t="shared" si="21"/>
        <v>5.1685727016188926E-2</v>
      </c>
      <c r="I134">
        <f t="shared" si="22"/>
        <v>12</v>
      </c>
    </row>
    <row r="135" spans="1:9" x14ac:dyDescent="0.45">
      <c r="A135">
        <v>29</v>
      </c>
      <c r="B135">
        <v>300</v>
      </c>
      <c r="C135">
        <v>1</v>
      </c>
      <c r="D135">
        <f t="shared" si="18"/>
        <v>300</v>
      </c>
      <c r="E135" t="str">
        <f t="shared" si="19"/>
        <v>20+</v>
      </c>
      <c r="F135" s="1">
        <f>INDEX('App-Click Conversion by Rank'!$K$12:$S$31,MATCH(E135,'App-Click Conversion by Rank'!$J$12:$J$31,0),MATCH(D135,'App-Click Conversion by Rank'!$K$11:$S$11,0))</f>
        <v>4.5385779122541605E-3</v>
      </c>
      <c r="G135" s="3">
        <f t="shared" si="20"/>
        <v>4.5385779122541605E-3</v>
      </c>
      <c r="H135" s="5">
        <f t="shared" si="21"/>
        <v>0.13161875945537066</v>
      </c>
      <c r="I135">
        <f t="shared" si="22"/>
        <v>29</v>
      </c>
    </row>
    <row r="136" spans="1:9" x14ac:dyDescent="0.45">
      <c r="A136">
        <v>9</v>
      </c>
      <c r="B136">
        <v>500</v>
      </c>
      <c r="C136">
        <v>352</v>
      </c>
      <c r="D136">
        <f t="shared" si="18"/>
        <v>500</v>
      </c>
      <c r="E136">
        <f t="shared" si="19"/>
        <v>9</v>
      </c>
      <c r="F136" s="1">
        <f>INDEX('App-Click Conversion by Rank'!$K$12:$S$31,MATCH(E136,'App-Click Conversion by Rank'!$J$12:$J$31,0),MATCH(D136,'App-Click Conversion by Rank'!$K$11:$S$11,0))</f>
        <v>6.8679821214433666E-3</v>
      </c>
      <c r="G136" s="3">
        <f t="shared" si="20"/>
        <v>2.417529706748065</v>
      </c>
      <c r="H136" s="5">
        <f t="shared" si="21"/>
        <v>21.757767360732586</v>
      </c>
      <c r="I136">
        <f t="shared" si="22"/>
        <v>3168</v>
      </c>
    </row>
    <row r="137" spans="1:9" x14ac:dyDescent="0.45">
      <c r="A137">
        <v>11</v>
      </c>
      <c r="B137">
        <v>500</v>
      </c>
      <c r="C137">
        <v>692</v>
      </c>
      <c r="D137">
        <f t="shared" si="18"/>
        <v>500</v>
      </c>
      <c r="E137">
        <f t="shared" si="19"/>
        <v>11</v>
      </c>
      <c r="F137" s="1">
        <f>INDEX('App-Click Conversion by Rank'!$K$12:$S$31,MATCH(E137,'App-Click Conversion by Rank'!$J$12:$J$31,0),MATCH(D137,'App-Click Conversion by Rank'!$K$11:$S$11,0))</f>
        <v>7.8869923484402582E-3</v>
      </c>
      <c r="G137" s="3">
        <f t="shared" si="20"/>
        <v>5.4577987051206591</v>
      </c>
      <c r="H137" s="5">
        <f t="shared" si="21"/>
        <v>60.03578575632725</v>
      </c>
      <c r="I137">
        <f t="shared" si="22"/>
        <v>7612</v>
      </c>
    </row>
    <row r="138" spans="1:9" x14ac:dyDescent="0.45">
      <c r="A138">
        <v>10</v>
      </c>
      <c r="B138">
        <v>250</v>
      </c>
      <c r="C138">
        <v>23</v>
      </c>
      <c r="D138">
        <f t="shared" si="18"/>
        <v>250</v>
      </c>
      <c r="E138">
        <f t="shared" si="19"/>
        <v>10</v>
      </c>
      <c r="F138" s="1">
        <f>INDEX('App-Click Conversion by Rank'!$K$12:$S$31,MATCH(E138,'App-Click Conversion by Rank'!$J$12:$J$31,0),MATCH(D138,'App-Click Conversion by Rank'!$K$11:$S$11,0))</f>
        <v>2.768166089965398E-2</v>
      </c>
      <c r="G138" s="3">
        <f t="shared" si="20"/>
        <v>0.63667820069204151</v>
      </c>
      <c r="H138" s="5">
        <f t="shared" si="21"/>
        <v>6.3667820069204151</v>
      </c>
      <c r="I138">
        <f t="shared" si="22"/>
        <v>230</v>
      </c>
    </row>
    <row r="139" spans="1:9" x14ac:dyDescent="0.45">
      <c r="A139">
        <v>6</v>
      </c>
      <c r="B139">
        <v>500</v>
      </c>
      <c r="C139">
        <v>264</v>
      </c>
      <c r="D139">
        <f t="shared" si="18"/>
        <v>500</v>
      </c>
      <c r="E139">
        <f t="shared" si="19"/>
        <v>6</v>
      </c>
      <c r="F139" s="1">
        <f>INDEX('App-Click Conversion by Rank'!$K$12:$S$31,MATCH(E139,'App-Click Conversion by Rank'!$J$12:$J$31,0),MATCH(D139,'App-Click Conversion by Rank'!$K$11:$S$11,0))</f>
        <v>2.218905472636816E-2</v>
      </c>
      <c r="G139" s="3">
        <f t="shared" si="20"/>
        <v>5.8579104477611939</v>
      </c>
      <c r="H139" s="5">
        <f t="shared" si="21"/>
        <v>35.147462686567167</v>
      </c>
      <c r="I139">
        <f t="shared" si="22"/>
        <v>1584</v>
      </c>
    </row>
    <row r="140" spans="1:9" x14ac:dyDescent="0.45">
      <c r="A140">
        <v>11</v>
      </c>
      <c r="B140">
        <v>550</v>
      </c>
      <c r="C140">
        <v>186</v>
      </c>
      <c r="D140" t="str">
        <f t="shared" si="18"/>
        <v>501+</v>
      </c>
      <c r="E140">
        <f t="shared" si="19"/>
        <v>11</v>
      </c>
      <c r="F140" s="1">
        <f>INDEX('App-Click Conversion by Rank'!$K$12:$S$31,MATCH(E140,'App-Click Conversion by Rank'!$J$12:$J$31,0),MATCH(D140,'App-Click Conversion by Rank'!$K$11:$S$11,0))</f>
        <v>7.0175438596491229E-3</v>
      </c>
      <c r="G140" s="3">
        <f t="shared" si="20"/>
        <v>1.3052631578947369</v>
      </c>
      <c r="H140" s="5">
        <f t="shared" si="21"/>
        <v>14.357894736842105</v>
      </c>
      <c r="I140">
        <f t="shared" si="22"/>
        <v>2046</v>
      </c>
    </row>
    <row r="141" spans="1:9" x14ac:dyDescent="0.45">
      <c r="A141">
        <v>7</v>
      </c>
      <c r="B141">
        <v>550</v>
      </c>
      <c r="C141">
        <v>138</v>
      </c>
      <c r="D141" t="str">
        <f t="shared" si="18"/>
        <v>501+</v>
      </c>
      <c r="E141">
        <f t="shared" si="19"/>
        <v>7</v>
      </c>
      <c r="F141" s="1">
        <f>INDEX('App-Click Conversion by Rank'!$K$12:$S$31,MATCH(E141,'App-Click Conversion by Rank'!$J$12:$J$31,0),MATCH(D141,'App-Click Conversion by Rank'!$K$11:$S$11,0))</f>
        <v>1.4011208967173739E-2</v>
      </c>
      <c r="G141" s="3">
        <f t="shared" si="20"/>
        <v>1.933546837469976</v>
      </c>
      <c r="H141" s="5">
        <f t="shared" si="21"/>
        <v>13.534827862289832</v>
      </c>
      <c r="I141">
        <f t="shared" si="22"/>
        <v>966</v>
      </c>
    </row>
    <row r="142" spans="1:9" x14ac:dyDescent="0.45">
      <c r="A142">
        <v>7</v>
      </c>
      <c r="B142">
        <v>500</v>
      </c>
      <c r="C142">
        <v>356</v>
      </c>
      <c r="D142">
        <f t="shared" si="18"/>
        <v>500</v>
      </c>
      <c r="E142">
        <f t="shared" si="19"/>
        <v>7</v>
      </c>
      <c r="F142" s="1">
        <f>INDEX('App-Click Conversion by Rank'!$K$12:$S$31,MATCH(E142,'App-Click Conversion by Rank'!$J$12:$J$31,0),MATCH(D142,'App-Click Conversion by Rank'!$K$11:$S$11,0))</f>
        <v>1.6261794820317206E-2</v>
      </c>
      <c r="G142" s="3">
        <f t="shared" si="20"/>
        <v>5.7891989560329256</v>
      </c>
      <c r="H142" s="5">
        <f t="shared" si="21"/>
        <v>40.524392692230478</v>
      </c>
      <c r="I142">
        <f t="shared" si="22"/>
        <v>2492</v>
      </c>
    </row>
    <row r="143" spans="1:9" x14ac:dyDescent="0.45">
      <c r="A143">
        <v>8</v>
      </c>
      <c r="B143">
        <v>600</v>
      </c>
      <c r="C143">
        <v>10</v>
      </c>
      <c r="D143" t="str">
        <f t="shared" si="18"/>
        <v>501+</v>
      </c>
      <c r="E143">
        <f t="shared" si="19"/>
        <v>8</v>
      </c>
      <c r="F143" s="1">
        <f>INDEX('App-Click Conversion by Rank'!$K$12:$S$31,MATCH(E143,'App-Click Conversion by Rank'!$J$12:$J$31,0),MATCH(D143,'App-Click Conversion by Rank'!$K$11:$S$11,0))</f>
        <v>1.0399562123700055E-2</v>
      </c>
      <c r="G143" s="3">
        <f t="shared" si="20"/>
        <v>0.10399562123700054</v>
      </c>
      <c r="H143" s="5">
        <f t="shared" si="21"/>
        <v>0.83196496989600432</v>
      </c>
      <c r="I143">
        <f t="shared" si="22"/>
        <v>80</v>
      </c>
    </row>
    <row r="144" spans="1:9" x14ac:dyDescent="0.45">
      <c r="A144">
        <v>28</v>
      </c>
      <c r="B144">
        <v>450</v>
      </c>
      <c r="C144">
        <v>26</v>
      </c>
      <c r="D144">
        <f t="shared" si="18"/>
        <v>450</v>
      </c>
      <c r="E144" t="str">
        <f t="shared" si="19"/>
        <v>20+</v>
      </c>
      <c r="F144" s="1">
        <f>INDEX('App-Click Conversion by Rank'!$K$12:$S$31,MATCH(E144,'App-Click Conversion by Rank'!$J$12:$J$31,0),MATCH(D144,'App-Click Conversion by Rank'!$K$11:$S$11,0))</f>
        <v>5.6022408963585435E-3</v>
      </c>
      <c r="G144" s="3">
        <f t="shared" si="20"/>
        <v>0.14565826330532214</v>
      </c>
      <c r="H144" s="5">
        <f t="shared" si="21"/>
        <v>4.0784313725490202</v>
      </c>
      <c r="I144">
        <f t="shared" si="22"/>
        <v>728</v>
      </c>
    </row>
    <row r="145" spans="1:9" x14ac:dyDescent="0.45">
      <c r="A145">
        <v>28</v>
      </c>
      <c r="B145">
        <v>500</v>
      </c>
      <c r="C145">
        <v>123</v>
      </c>
      <c r="D145">
        <f t="shared" si="18"/>
        <v>500</v>
      </c>
      <c r="E145" t="str">
        <f t="shared" si="19"/>
        <v>20+</v>
      </c>
      <c r="F145" s="1">
        <f>INDEX('App-Click Conversion by Rank'!$K$12:$S$31,MATCH(E145,'App-Click Conversion by Rank'!$J$12:$J$31,0),MATCH(D145,'App-Click Conversion by Rank'!$K$11:$S$11,0))</f>
        <v>5.1121544079290558E-3</v>
      </c>
      <c r="G145" s="3">
        <f t="shared" si="20"/>
        <v>0.6287949921752739</v>
      </c>
      <c r="H145" s="5">
        <f t="shared" si="21"/>
        <v>17.606259780907671</v>
      </c>
      <c r="I145">
        <f t="shared" si="22"/>
        <v>3444</v>
      </c>
    </row>
    <row r="146" spans="1:9" x14ac:dyDescent="0.45">
      <c r="A146">
        <v>29</v>
      </c>
      <c r="B146">
        <v>600</v>
      </c>
      <c r="C146">
        <v>16</v>
      </c>
      <c r="D146" t="str">
        <f t="shared" si="18"/>
        <v>501+</v>
      </c>
      <c r="E146" t="str">
        <f t="shared" si="19"/>
        <v>20+</v>
      </c>
      <c r="F146" s="1">
        <f>INDEX('App-Click Conversion by Rank'!$K$12:$S$31,MATCH(E146,'App-Click Conversion by Rank'!$J$12:$J$31,0),MATCH(D146,'App-Click Conversion by Rank'!$K$11:$S$11,0))</f>
        <v>5.9893958237873931E-3</v>
      </c>
      <c r="G146" s="3">
        <f t="shared" si="20"/>
        <v>9.583033318059829E-2</v>
      </c>
      <c r="H146" s="5">
        <f t="shared" si="21"/>
        <v>2.7790796622373506</v>
      </c>
      <c r="I146">
        <f t="shared" si="22"/>
        <v>464</v>
      </c>
    </row>
    <row r="147" spans="1:9" x14ac:dyDescent="0.45">
      <c r="A147">
        <v>30</v>
      </c>
      <c r="B147">
        <v>450</v>
      </c>
      <c r="C147">
        <v>29</v>
      </c>
      <c r="D147">
        <f t="shared" si="18"/>
        <v>450</v>
      </c>
      <c r="E147" t="str">
        <f t="shared" si="19"/>
        <v>20+</v>
      </c>
      <c r="F147" s="1">
        <f>INDEX('App-Click Conversion by Rank'!$K$12:$S$31,MATCH(E147,'App-Click Conversion by Rank'!$J$12:$J$31,0),MATCH(D147,'App-Click Conversion by Rank'!$K$11:$S$11,0))</f>
        <v>5.6022408963585435E-3</v>
      </c>
      <c r="G147" s="3">
        <f t="shared" si="20"/>
        <v>0.16246498599439776</v>
      </c>
      <c r="H147" s="5">
        <f t="shared" si="21"/>
        <v>4.8739495798319332</v>
      </c>
      <c r="I147">
        <f t="shared" si="22"/>
        <v>870</v>
      </c>
    </row>
    <row r="148" spans="1:9" x14ac:dyDescent="0.45">
      <c r="A148">
        <v>13</v>
      </c>
      <c r="B148">
        <v>400</v>
      </c>
      <c r="C148">
        <v>133</v>
      </c>
      <c r="D148">
        <f t="shared" si="18"/>
        <v>400</v>
      </c>
      <c r="E148">
        <f t="shared" si="19"/>
        <v>13</v>
      </c>
      <c r="F148" s="1">
        <f>INDEX('App-Click Conversion by Rank'!$K$12:$S$31,MATCH(E148,'App-Click Conversion by Rank'!$J$12:$J$31,0),MATCH(D148,'App-Click Conversion by Rank'!$K$11:$S$11,0))</f>
        <v>4.8470160557406846E-3</v>
      </c>
      <c r="G148" s="3">
        <f t="shared" si="20"/>
        <v>0.6446531354135111</v>
      </c>
      <c r="H148" s="5">
        <f t="shared" si="21"/>
        <v>8.3804907603756451</v>
      </c>
      <c r="I148">
        <f t="shared" si="22"/>
        <v>1729</v>
      </c>
    </row>
    <row r="149" spans="1:9" x14ac:dyDescent="0.45">
      <c r="A149">
        <v>3</v>
      </c>
      <c r="B149">
        <v>250</v>
      </c>
      <c r="C149">
        <v>64</v>
      </c>
      <c r="D149">
        <f t="shared" si="18"/>
        <v>250</v>
      </c>
      <c r="E149">
        <f t="shared" si="19"/>
        <v>3</v>
      </c>
      <c r="F149" s="1">
        <f>INDEX('App-Click Conversion by Rank'!$K$12:$S$31,MATCH(E149,'App-Click Conversion by Rank'!$J$12:$J$31,0),MATCH(D149,'App-Click Conversion by Rank'!$K$11:$S$11,0))</f>
        <v>0.10116550116550116</v>
      </c>
      <c r="G149" s="3">
        <f t="shared" si="20"/>
        <v>6.4745920745920742</v>
      </c>
      <c r="H149" s="5">
        <f t="shared" si="21"/>
        <v>19.423776223776223</v>
      </c>
      <c r="I149">
        <f t="shared" si="22"/>
        <v>192</v>
      </c>
    </row>
    <row r="150" spans="1:9" x14ac:dyDescent="0.45">
      <c r="A150">
        <v>16</v>
      </c>
      <c r="B150">
        <v>450</v>
      </c>
      <c r="C150">
        <v>139</v>
      </c>
      <c r="D150">
        <f t="shared" si="18"/>
        <v>450</v>
      </c>
      <c r="E150">
        <f t="shared" si="19"/>
        <v>16</v>
      </c>
      <c r="F150" s="1">
        <f>INDEX('App-Click Conversion by Rank'!$K$12:$S$31,MATCH(E150,'App-Click Conversion by Rank'!$J$12:$J$31,0),MATCH(D150,'App-Click Conversion by Rank'!$K$11:$S$11,0))</f>
        <v>3.4283265481037067E-3</v>
      </c>
      <c r="G150" s="3">
        <f t="shared" si="20"/>
        <v>0.47653739018641522</v>
      </c>
      <c r="H150" s="5">
        <f t="shared" si="21"/>
        <v>7.6245982429826435</v>
      </c>
      <c r="I150">
        <f t="shared" si="22"/>
        <v>2224</v>
      </c>
    </row>
    <row r="151" spans="1:9" x14ac:dyDescent="0.45">
      <c r="A151">
        <v>22</v>
      </c>
      <c r="B151">
        <v>600</v>
      </c>
      <c r="C151">
        <v>35</v>
      </c>
      <c r="D151" t="str">
        <f t="shared" si="18"/>
        <v>501+</v>
      </c>
      <c r="E151" t="str">
        <f t="shared" si="19"/>
        <v>20+</v>
      </c>
      <c r="F151" s="1">
        <f>INDEX('App-Click Conversion by Rank'!$K$12:$S$31,MATCH(E151,'App-Click Conversion by Rank'!$J$12:$J$31,0),MATCH(D151,'App-Click Conversion by Rank'!$K$11:$S$11,0))</f>
        <v>5.9893958237873931E-3</v>
      </c>
      <c r="G151" s="3">
        <f t="shared" si="20"/>
        <v>0.20962885383255875</v>
      </c>
      <c r="H151" s="5">
        <f t="shared" si="21"/>
        <v>4.6118347843162928</v>
      </c>
      <c r="I151">
        <f t="shared" si="22"/>
        <v>770</v>
      </c>
    </row>
    <row r="152" spans="1:9" x14ac:dyDescent="0.45">
      <c r="A152">
        <v>4</v>
      </c>
      <c r="B152">
        <v>500</v>
      </c>
      <c r="C152">
        <v>168</v>
      </c>
      <c r="D152">
        <f t="shared" si="18"/>
        <v>500</v>
      </c>
      <c r="E152">
        <f t="shared" si="19"/>
        <v>4</v>
      </c>
      <c r="F152" s="1">
        <f>INDEX('App-Click Conversion by Rank'!$K$12:$S$31,MATCH(E152,'App-Click Conversion by Rank'!$J$12:$J$31,0),MATCH(D152,'App-Click Conversion by Rank'!$K$11:$S$11,0))</f>
        <v>3.3269961977186312E-2</v>
      </c>
      <c r="G152" s="3">
        <f t="shared" si="20"/>
        <v>5.5893536121673</v>
      </c>
      <c r="H152" s="5">
        <f t="shared" si="21"/>
        <v>22.3574144486692</v>
      </c>
      <c r="I152">
        <f t="shared" si="22"/>
        <v>672</v>
      </c>
    </row>
    <row r="153" spans="1:9" x14ac:dyDescent="0.45">
      <c r="A153">
        <v>25</v>
      </c>
      <c r="B153">
        <v>600</v>
      </c>
      <c r="C153">
        <v>17</v>
      </c>
      <c r="D153" t="str">
        <f t="shared" si="18"/>
        <v>501+</v>
      </c>
      <c r="E153" t="str">
        <f t="shared" si="19"/>
        <v>20+</v>
      </c>
      <c r="F153" s="1">
        <f>INDEX('App-Click Conversion by Rank'!$K$12:$S$31,MATCH(E153,'App-Click Conversion by Rank'!$J$12:$J$31,0),MATCH(D153,'App-Click Conversion by Rank'!$K$11:$S$11,0))</f>
        <v>5.9893958237873931E-3</v>
      </c>
      <c r="G153" s="3">
        <f t="shared" si="20"/>
        <v>0.10181972900438568</v>
      </c>
      <c r="H153" s="5">
        <f t="shared" si="21"/>
        <v>2.545493225109642</v>
      </c>
      <c r="I153">
        <f t="shared" si="22"/>
        <v>425</v>
      </c>
    </row>
    <row r="154" spans="1:9" x14ac:dyDescent="0.45">
      <c r="A154">
        <v>29</v>
      </c>
      <c r="B154">
        <v>650</v>
      </c>
      <c r="C154">
        <v>2</v>
      </c>
      <c r="D154" t="str">
        <f t="shared" si="18"/>
        <v>501+</v>
      </c>
      <c r="E154" t="str">
        <f t="shared" si="19"/>
        <v>20+</v>
      </c>
      <c r="F154" s="1">
        <f>INDEX('App-Click Conversion by Rank'!$K$12:$S$31,MATCH(E154,'App-Click Conversion by Rank'!$J$12:$J$31,0),MATCH(D154,'App-Click Conversion by Rank'!$K$11:$S$11,0))</f>
        <v>5.9893958237873931E-3</v>
      </c>
      <c r="G154" s="3">
        <f t="shared" si="20"/>
        <v>1.1978791647574786E-2</v>
      </c>
      <c r="H154" s="5">
        <f t="shared" si="21"/>
        <v>0.34738495777966882</v>
      </c>
      <c r="I154">
        <f t="shared" si="22"/>
        <v>58</v>
      </c>
    </row>
    <row r="155" spans="1:9" x14ac:dyDescent="0.45">
      <c r="A155">
        <v>1</v>
      </c>
      <c r="B155">
        <v>300</v>
      </c>
      <c r="C155">
        <v>32</v>
      </c>
      <c r="D155">
        <f t="shared" si="18"/>
        <v>300</v>
      </c>
      <c r="E155">
        <f t="shared" si="19"/>
        <v>1</v>
      </c>
      <c r="F155" s="1">
        <f>INDEX('App-Click Conversion by Rank'!$K$12:$S$31,MATCH(E155,'App-Click Conversion by Rank'!$J$12:$J$31,0),MATCH(D155,'App-Click Conversion by Rank'!$K$11:$S$11,0))</f>
        <v>0.27164439279488667</v>
      </c>
      <c r="G155" s="3">
        <f t="shared" si="20"/>
        <v>8.6926205694363734</v>
      </c>
      <c r="H155" s="5">
        <f t="shared" si="21"/>
        <v>8.6926205694363734</v>
      </c>
      <c r="I155">
        <f t="shared" si="22"/>
        <v>32</v>
      </c>
    </row>
    <row r="156" spans="1:9" x14ac:dyDescent="0.45">
      <c r="A156">
        <v>3</v>
      </c>
      <c r="B156">
        <v>200</v>
      </c>
      <c r="C156">
        <v>37</v>
      </c>
      <c r="D156">
        <f t="shared" si="18"/>
        <v>200</v>
      </c>
      <c r="E156">
        <f t="shared" si="19"/>
        <v>3</v>
      </c>
      <c r="F156" s="1">
        <f>INDEX('App-Click Conversion by Rank'!$K$12:$S$31,MATCH(E156,'App-Click Conversion by Rank'!$J$12:$J$31,0),MATCH(D156,'App-Click Conversion by Rank'!$K$11:$S$11,0))</f>
        <v>9.3181818181818185E-2</v>
      </c>
      <c r="G156" s="3">
        <f t="shared" si="20"/>
        <v>3.4477272727272728</v>
      </c>
      <c r="H156" s="5">
        <f t="shared" si="21"/>
        <v>10.343181818181819</v>
      </c>
      <c r="I156">
        <f t="shared" si="22"/>
        <v>111</v>
      </c>
    </row>
    <row r="157" spans="1:9" x14ac:dyDescent="0.45">
      <c r="A157">
        <v>15</v>
      </c>
      <c r="B157">
        <v>350</v>
      </c>
      <c r="C157">
        <v>20</v>
      </c>
      <c r="D157">
        <f t="shared" si="18"/>
        <v>350</v>
      </c>
      <c r="E157">
        <f t="shared" si="19"/>
        <v>15</v>
      </c>
      <c r="F157" s="1">
        <f>INDEX('App-Click Conversion by Rank'!$K$12:$S$31,MATCH(E157,'App-Click Conversion by Rank'!$J$12:$J$31,0),MATCH(D157,'App-Click Conversion by Rank'!$K$11:$S$11,0))</f>
        <v>4.048582995951417E-3</v>
      </c>
      <c r="G157" s="3">
        <f t="shared" si="20"/>
        <v>8.0971659919028341E-2</v>
      </c>
      <c r="H157" s="5">
        <f t="shared" si="21"/>
        <v>1.214574898785425</v>
      </c>
      <c r="I157">
        <f t="shared" si="22"/>
        <v>300</v>
      </c>
    </row>
    <row r="158" spans="1:9" x14ac:dyDescent="0.45">
      <c r="A158">
        <v>15</v>
      </c>
      <c r="B158">
        <v>300</v>
      </c>
      <c r="C158">
        <v>9</v>
      </c>
      <c r="D158">
        <f t="shared" si="18"/>
        <v>300</v>
      </c>
      <c r="E158">
        <f t="shared" si="19"/>
        <v>15</v>
      </c>
      <c r="F158" s="1">
        <f>INDEX('App-Click Conversion by Rank'!$K$12:$S$31,MATCH(E158,'App-Click Conversion by Rank'!$J$12:$J$31,0),MATCH(D158,'App-Click Conversion by Rank'!$K$11:$S$11,0))</f>
        <v>6.4850843060959796E-3</v>
      </c>
      <c r="G158" s="3">
        <f t="shared" si="20"/>
        <v>5.8365758754863814E-2</v>
      </c>
      <c r="H158" s="5">
        <f t="shared" si="21"/>
        <v>0.8754863813229572</v>
      </c>
      <c r="I158">
        <f t="shared" si="22"/>
        <v>135</v>
      </c>
    </row>
    <row r="159" spans="1:9" x14ac:dyDescent="0.45">
      <c r="A159">
        <v>24</v>
      </c>
      <c r="B159">
        <v>200</v>
      </c>
      <c r="C159">
        <v>1</v>
      </c>
      <c r="D159">
        <f t="shared" si="18"/>
        <v>200</v>
      </c>
      <c r="E159" t="str">
        <f t="shared" si="19"/>
        <v>20+</v>
      </c>
      <c r="F159" s="1">
        <f>INDEX('App-Click Conversion by Rank'!$K$12:$S$31,MATCH(E159,'App-Click Conversion by Rank'!$J$12:$J$31,0),MATCH(D159,'App-Click Conversion by Rank'!$K$11:$S$11,0))</f>
        <v>0</v>
      </c>
      <c r="G159" s="3">
        <f t="shared" si="20"/>
        <v>0</v>
      </c>
      <c r="H159" s="5">
        <f t="shared" si="21"/>
        <v>0</v>
      </c>
      <c r="I159">
        <f t="shared" si="22"/>
        <v>24</v>
      </c>
    </row>
    <row r="160" spans="1:9" x14ac:dyDescent="0.45">
      <c r="A160">
        <v>8</v>
      </c>
      <c r="B160">
        <v>150</v>
      </c>
      <c r="C160">
        <v>1</v>
      </c>
      <c r="D160" t="str">
        <f t="shared" si="18"/>
        <v>&lt;=150</v>
      </c>
      <c r="E160">
        <f t="shared" si="19"/>
        <v>8</v>
      </c>
      <c r="F160" s="1">
        <f>INDEX('App-Click Conversion by Rank'!$K$12:$S$31,MATCH(E160,'App-Click Conversion by Rank'!$J$12:$J$31,0),MATCH(D160,'App-Click Conversion by Rank'!$K$11:$S$11,0))</f>
        <v>0</v>
      </c>
      <c r="G160" s="3">
        <f t="shared" si="20"/>
        <v>0</v>
      </c>
      <c r="H160" s="5">
        <f t="shared" si="21"/>
        <v>0</v>
      </c>
      <c r="I160">
        <f t="shared" si="22"/>
        <v>8</v>
      </c>
    </row>
    <row r="161" spans="1:9" x14ac:dyDescent="0.45">
      <c r="A161">
        <v>22</v>
      </c>
      <c r="B161">
        <v>650</v>
      </c>
      <c r="C161">
        <v>1</v>
      </c>
      <c r="D161" t="str">
        <f t="shared" si="18"/>
        <v>501+</v>
      </c>
      <c r="E161" t="str">
        <f t="shared" si="19"/>
        <v>20+</v>
      </c>
      <c r="F161" s="1">
        <f>INDEX('App-Click Conversion by Rank'!$K$12:$S$31,MATCH(E161,'App-Click Conversion by Rank'!$J$12:$J$31,0),MATCH(D161,'App-Click Conversion by Rank'!$K$11:$S$11,0))</f>
        <v>5.9893958237873931E-3</v>
      </c>
      <c r="G161" s="3">
        <f t="shared" si="20"/>
        <v>5.9893958237873931E-3</v>
      </c>
      <c r="H161" s="5">
        <f t="shared" si="21"/>
        <v>0.13176670812332264</v>
      </c>
      <c r="I161">
        <f t="shared" si="22"/>
        <v>22</v>
      </c>
    </row>
    <row r="162" spans="1:9" x14ac:dyDescent="0.45">
      <c r="A162">
        <v>4</v>
      </c>
      <c r="B162">
        <v>0</v>
      </c>
      <c r="C162">
        <v>1</v>
      </c>
      <c r="D162" t="str">
        <f t="shared" si="18"/>
        <v>&lt;=150</v>
      </c>
      <c r="E162">
        <f t="shared" si="19"/>
        <v>4</v>
      </c>
      <c r="F162" s="1">
        <f>INDEX('App-Click Conversion by Rank'!$K$12:$S$31,MATCH(E162,'App-Click Conversion by Rank'!$J$12:$J$31,0),MATCH(D162,'App-Click Conversion by Rank'!$K$11:$S$11,0))</f>
        <v>0.12549019607843137</v>
      </c>
      <c r="G162" s="3">
        <f t="shared" si="20"/>
        <v>0.12549019607843137</v>
      </c>
      <c r="H162" s="5">
        <f t="shared" si="21"/>
        <v>0.50196078431372548</v>
      </c>
      <c r="I162">
        <f t="shared" si="22"/>
        <v>4</v>
      </c>
    </row>
    <row r="163" spans="1:9" x14ac:dyDescent="0.45">
      <c r="A163">
        <v>12</v>
      </c>
      <c r="B163">
        <v>450</v>
      </c>
      <c r="C163">
        <v>336</v>
      </c>
      <c r="D163">
        <f t="shared" si="18"/>
        <v>450</v>
      </c>
      <c r="E163">
        <f t="shared" si="19"/>
        <v>12</v>
      </c>
      <c r="F163" s="1">
        <f>INDEX('App-Click Conversion by Rank'!$K$12:$S$31,MATCH(E163,'App-Click Conversion by Rank'!$J$12:$J$31,0),MATCH(D163,'App-Click Conversion by Rank'!$K$11:$S$11,0))</f>
        <v>5.1795580110497235E-3</v>
      </c>
      <c r="G163" s="3">
        <f t="shared" si="20"/>
        <v>1.7403314917127071</v>
      </c>
      <c r="H163" s="5">
        <f t="shared" si="21"/>
        <v>20.883977900552484</v>
      </c>
      <c r="I163">
        <f t="shared" si="22"/>
        <v>4032</v>
      </c>
    </row>
    <row r="164" spans="1:9" x14ac:dyDescent="0.45">
      <c r="A164">
        <v>23</v>
      </c>
      <c r="B164">
        <v>400</v>
      </c>
      <c r="C164">
        <v>27</v>
      </c>
      <c r="D164">
        <f t="shared" si="18"/>
        <v>400</v>
      </c>
      <c r="E164" t="str">
        <f t="shared" si="19"/>
        <v>20+</v>
      </c>
      <c r="F164" s="1">
        <f>INDEX('App-Click Conversion by Rank'!$K$12:$S$31,MATCH(E164,'App-Click Conversion by Rank'!$J$12:$J$31,0),MATCH(D164,'App-Click Conversion by Rank'!$K$11:$S$11,0))</f>
        <v>6.4196625091709463E-3</v>
      </c>
      <c r="G164" s="3">
        <f t="shared" si="20"/>
        <v>0.17333088774761554</v>
      </c>
      <c r="H164" s="5">
        <f t="shared" si="21"/>
        <v>3.9866104181951574</v>
      </c>
      <c r="I164">
        <f t="shared" si="22"/>
        <v>621</v>
      </c>
    </row>
    <row r="165" spans="1:9" x14ac:dyDescent="0.45">
      <c r="A165">
        <v>18</v>
      </c>
      <c r="B165">
        <v>450</v>
      </c>
      <c r="C165">
        <v>136</v>
      </c>
      <c r="D165">
        <f t="shared" si="18"/>
        <v>450</v>
      </c>
      <c r="E165">
        <f t="shared" si="19"/>
        <v>18</v>
      </c>
      <c r="F165" s="1">
        <f>INDEX('App-Click Conversion by Rank'!$K$12:$S$31,MATCH(E165,'App-Click Conversion by Rank'!$J$12:$J$31,0),MATCH(D165,'App-Click Conversion by Rank'!$K$11:$S$11,0))</f>
        <v>2.6493256262042388E-3</v>
      </c>
      <c r="G165" s="3">
        <f t="shared" si="20"/>
        <v>0.36030828516377644</v>
      </c>
      <c r="H165" s="5">
        <f t="shared" si="21"/>
        <v>6.485549132947976</v>
      </c>
      <c r="I165">
        <f t="shared" si="22"/>
        <v>2448</v>
      </c>
    </row>
    <row r="166" spans="1:9" x14ac:dyDescent="0.45">
      <c r="A166">
        <v>3</v>
      </c>
      <c r="B166">
        <v>450</v>
      </c>
      <c r="C166">
        <v>227</v>
      </c>
      <c r="D166">
        <f t="shared" si="18"/>
        <v>450</v>
      </c>
      <c r="E166">
        <f t="shared" si="19"/>
        <v>3</v>
      </c>
      <c r="F166" s="1">
        <f>INDEX('App-Click Conversion by Rank'!$K$12:$S$31,MATCH(E166,'App-Click Conversion by Rank'!$J$12:$J$31,0),MATCH(D166,'App-Click Conversion by Rank'!$K$11:$S$11,0))</f>
        <v>5.0193489642613248E-2</v>
      </c>
      <c r="G166" s="3">
        <f t="shared" si="20"/>
        <v>11.393922148873207</v>
      </c>
      <c r="H166" s="5">
        <f t="shared" si="21"/>
        <v>34.181766446619619</v>
      </c>
      <c r="I166">
        <f t="shared" si="22"/>
        <v>681</v>
      </c>
    </row>
    <row r="167" spans="1:9" x14ac:dyDescent="0.45">
      <c r="A167">
        <v>21</v>
      </c>
      <c r="B167">
        <v>450</v>
      </c>
      <c r="C167">
        <v>153</v>
      </c>
      <c r="D167">
        <f t="shared" si="18"/>
        <v>450</v>
      </c>
      <c r="E167" t="str">
        <f t="shared" si="19"/>
        <v>20+</v>
      </c>
      <c r="F167" s="1">
        <f>INDEX('App-Click Conversion by Rank'!$K$12:$S$31,MATCH(E167,'App-Click Conversion by Rank'!$J$12:$J$31,0),MATCH(D167,'App-Click Conversion by Rank'!$K$11:$S$11,0))</f>
        <v>5.6022408963585435E-3</v>
      </c>
      <c r="G167" s="3">
        <f t="shared" si="20"/>
        <v>0.8571428571428571</v>
      </c>
      <c r="H167" s="5">
        <f t="shared" si="21"/>
        <v>18</v>
      </c>
      <c r="I167">
        <f t="shared" si="22"/>
        <v>3213</v>
      </c>
    </row>
    <row r="168" spans="1:9" x14ac:dyDescent="0.45">
      <c r="A168">
        <v>5</v>
      </c>
      <c r="B168">
        <v>200</v>
      </c>
      <c r="C168">
        <v>10</v>
      </c>
      <c r="D168">
        <f t="shared" si="18"/>
        <v>200</v>
      </c>
      <c r="E168">
        <f t="shared" si="19"/>
        <v>5</v>
      </c>
      <c r="F168" s="1">
        <f>INDEX('App-Click Conversion by Rank'!$K$12:$S$31,MATCH(E168,'App-Click Conversion by Rank'!$J$12:$J$31,0),MATCH(D168,'App-Click Conversion by Rank'!$K$11:$S$11,0))</f>
        <v>5.2173913043478258E-2</v>
      </c>
      <c r="G168" s="3">
        <f t="shared" si="20"/>
        <v>0.52173913043478259</v>
      </c>
      <c r="H168" s="5">
        <f t="shared" si="21"/>
        <v>2.6086956521739131</v>
      </c>
      <c r="I168">
        <f t="shared" si="22"/>
        <v>50</v>
      </c>
    </row>
    <row r="169" spans="1:9" x14ac:dyDescent="0.45">
      <c r="A169">
        <v>3</v>
      </c>
      <c r="B169">
        <v>350</v>
      </c>
      <c r="C169">
        <v>255</v>
      </c>
      <c r="D169">
        <f t="shared" si="18"/>
        <v>350</v>
      </c>
      <c r="E169">
        <f t="shared" si="19"/>
        <v>3</v>
      </c>
      <c r="F169" s="1">
        <f>INDEX('App-Click Conversion by Rank'!$K$12:$S$31,MATCH(E169,'App-Click Conversion by Rank'!$J$12:$J$31,0),MATCH(D169,'App-Click Conversion by Rank'!$K$11:$S$11,0))</f>
        <v>6.8351870576339735E-2</v>
      </c>
      <c r="G169" s="3">
        <f t="shared" si="20"/>
        <v>17.429726996966632</v>
      </c>
      <c r="H169" s="5">
        <f t="shared" si="21"/>
        <v>52.289180990899894</v>
      </c>
      <c r="I169">
        <f t="shared" si="22"/>
        <v>765</v>
      </c>
    </row>
    <row r="170" spans="1:9" x14ac:dyDescent="0.45">
      <c r="A170">
        <v>10</v>
      </c>
      <c r="B170">
        <v>350</v>
      </c>
      <c r="C170">
        <v>121</v>
      </c>
      <c r="D170">
        <f t="shared" si="18"/>
        <v>350</v>
      </c>
      <c r="E170">
        <f t="shared" si="19"/>
        <v>10</v>
      </c>
      <c r="F170" s="1">
        <f>INDEX('App-Click Conversion by Rank'!$K$12:$S$31,MATCH(E170,'App-Click Conversion by Rank'!$J$12:$J$31,0),MATCH(D170,'App-Click Conversion by Rank'!$K$11:$S$11,0))</f>
        <v>9.1474570069520669E-3</v>
      </c>
      <c r="G170" s="3">
        <f t="shared" si="20"/>
        <v>1.1068422978412</v>
      </c>
      <c r="H170" s="5">
        <f t="shared" si="21"/>
        <v>11.068422978412</v>
      </c>
      <c r="I170">
        <f t="shared" si="22"/>
        <v>1210</v>
      </c>
    </row>
    <row r="171" spans="1:9" x14ac:dyDescent="0.45">
      <c r="A171">
        <v>24</v>
      </c>
      <c r="B171">
        <v>500</v>
      </c>
      <c r="C171">
        <v>190</v>
      </c>
      <c r="D171">
        <f t="shared" si="18"/>
        <v>500</v>
      </c>
      <c r="E171" t="str">
        <f t="shared" si="19"/>
        <v>20+</v>
      </c>
      <c r="F171" s="1">
        <f>INDEX('App-Click Conversion by Rank'!$K$12:$S$31,MATCH(E171,'App-Click Conversion by Rank'!$J$12:$J$31,0),MATCH(D171,'App-Click Conversion by Rank'!$K$11:$S$11,0))</f>
        <v>5.1121544079290558E-3</v>
      </c>
      <c r="G171" s="3">
        <f t="shared" si="20"/>
        <v>0.9713093375065206</v>
      </c>
      <c r="H171" s="5">
        <f t="shared" si="21"/>
        <v>23.311424100156493</v>
      </c>
      <c r="I171">
        <f t="shared" si="22"/>
        <v>4560</v>
      </c>
    </row>
    <row r="172" spans="1:9" x14ac:dyDescent="0.45">
      <c r="A172">
        <v>13</v>
      </c>
      <c r="B172">
        <v>500</v>
      </c>
      <c r="C172">
        <v>401</v>
      </c>
      <c r="D172">
        <f t="shared" si="18"/>
        <v>500</v>
      </c>
      <c r="E172">
        <f t="shared" si="19"/>
        <v>13</v>
      </c>
      <c r="F172" s="1">
        <f>INDEX('App-Click Conversion by Rank'!$K$12:$S$31,MATCH(E172,'App-Click Conversion by Rank'!$J$12:$J$31,0),MATCH(D172,'App-Click Conversion by Rank'!$K$11:$S$11,0))</f>
        <v>4.02060560371906E-3</v>
      </c>
      <c r="G172" s="3">
        <f t="shared" si="20"/>
        <v>1.6122628470913432</v>
      </c>
      <c r="H172" s="5">
        <f t="shared" si="21"/>
        <v>20.959417012187462</v>
      </c>
      <c r="I172">
        <f t="shared" si="22"/>
        <v>5213</v>
      </c>
    </row>
    <row r="173" spans="1:9" x14ac:dyDescent="0.45">
      <c r="A173">
        <v>13</v>
      </c>
      <c r="B173">
        <v>550</v>
      </c>
      <c r="C173">
        <v>284</v>
      </c>
      <c r="D173" t="str">
        <f t="shared" si="18"/>
        <v>501+</v>
      </c>
      <c r="E173">
        <f t="shared" si="19"/>
        <v>13</v>
      </c>
      <c r="F173" s="1">
        <f>INDEX('App-Click Conversion by Rank'!$K$12:$S$31,MATCH(E173,'App-Click Conversion by Rank'!$J$12:$J$31,0),MATCH(D173,'App-Click Conversion by Rank'!$K$11:$S$11,0))</f>
        <v>3.8179596823457542E-3</v>
      </c>
      <c r="G173" s="3">
        <f t="shared" si="20"/>
        <v>1.0843005497861942</v>
      </c>
      <c r="H173" s="5">
        <f t="shared" si="21"/>
        <v>14.095907147220524</v>
      </c>
      <c r="I173">
        <f t="shared" si="22"/>
        <v>3692</v>
      </c>
    </row>
    <row r="174" spans="1:9" x14ac:dyDescent="0.45">
      <c r="A174">
        <v>27</v>
      </c>
      <c r="B174">
        <v>450</v>
      </c>
      <c r="C174">
        <v>43</v>
      </c>
      <c r="D174">
        <f t="shared" si="18"/>
        <v>450</v>
      </c>
      <c r="E174" t="str">
        <f t="shared" si="19"/>
        <v>20+</v>
      </c>
      <c r="F174" s="1">
        <f>INDEX('App-Click Conversion by Rank'!$K$12:$S$31,MATCH(E174,'App-Click Conversion by Rank'!$J$12:$J$31,0),MATCH(D174,'App-Click Conversion by Rank'!$K$11:$S$11,0))</f>
        <v>5.6022408963585435E-3</v>
      </c>
      <c r="G174" s="3">
        <f t="shared" si="20"/>
        <v>0.24089635854341737</v>
      </c>
      <c r="H174" s="5">
        <f t="shared" si="21"/>
        <v>6.5042016806722689</v>
      </c>
      <c r="I174">
        <f t="shared" si="22"/>
        <v>1161</v>
      </c>
    </row>
    <row r="175" spans="1:9" x14ac:dyDescent="0.45">
      <c r="A175">
        <v>16</v>
      </c>
      <c r="B175">
        <v>200</v>
      </c>
      <c r="C175">
        <v>1</v>
      </c>
      <c r="D175">
        <f t="shared" si="18"/>
        <v>200</v>
      </c>
      <c r="E175">
        <f t="shared" si="19"/>
        <v>16</v>
      </c>
      <c r="F175" s="1">
        <f>INDEX('App-Click Conversion by Rank'!$K$12:$S$31,MATCH(E175,'App-Click Conversion by Rank'!$J$12:$J$31,0),MATCH(D175,'App-Click Conversion by Rank'!$K$11:$S$11,0))</f>
        <v>1.3698630136986301E-2</v>
      </c>
      <c r="G175" s="3">
        <f t="shared" si="20"/>
        <v>1.3698630136986301E-2</v>
      </c>
      <c r="H175" s="5">
        <f t="shared" si="21"/>
        <v>0.21917808219178081</v>
      </c>
      <c r="I175">
        <f t="shared" si="22"/>
        <v>16</v>
      </c>
    </row>
    <row r="176" spans="1:9" x14ac:dyDescent="0.45">
      <c r="A176">
        <v>20</v>
      </c>
      <c r="B176">
        <v>650</v>
      </c>
      <c r="C176">
        <v>2</v>
      </c>
      <c r="D176" t="str">
        <f t="shared" si="18"/>
        <v>501+</v>
      </c>
      <c r="E176" t="str">
        <f t="shared" si="19"/>
        <v>20+</v>
      </c>
      <c r="F176" s="1">
        <f>INDEX('App-Click Conversion by Rank'!$K$12:$S$31,MATCH(E176,'App-Click Conversion by Rank'!$J$12:$J$31,0),MATCH(D176,'App-Click Conversion by Rank'!$K$11:$S$11,0))</f>
        <v>5.9893958237873931E-3</v>
      </c>
      <c r="G176" s="3">
        <f t="shared" si="20"/>
        <v>1.1978791647574786E-2</v>
      </c>
      <c r="H176" s="5">
        <f t="shared" si="21"/>
        <v>0.23957583295149573</v>
      </c>
      <c r="I176">
        <f t="shared" si="22"/>
        <v>40</v>
      </c>
    </row>
    <row r="177" spans="1:9" x14ac:dyDescent="0.45">
      <c r="A177">
        <v>16</v>
      </c>
      <c r="B177">
        <v>400</v>
      </c>
      <c r="C177">
        <v>63</v>
      </c>
      <c r="D177">
        <f t="shared" si="18"/>
        <v>400</v>
      </c>
      <c r="E177">
        <f t="shared" si="19"/>
        <v>16</v>
      </c>
      <c r="F177" s="1">
        <f>INDEX('App-Click Conversion by Rank'!$K$12:$S$31,MATCH(E177,'App-Click Conversion by Rank'!$J$12:$J$31,0),MATCH(D177,'App-Click Conversion by Rank'!$K$11:$S$11,0))</f>
        <v>5.9880239520958087E-3</v>
      </c>
      <c r="G177" s="3">
        <f t="shared" si="20"/>
        <v>0.37724550898203596</v>
      </c>
      <c r="H177" s="5">
        <f t="shared" si="21"/>
        <v>6.0359281437125754</v>
      </c>
      <c r="I177">
        <f t="shared" si="22"/>
        <v>1008</v>
      </c>
    </row>
    <row r="178" spans="1:9" x14ac:dyDescent="0.45">
      <c r="A178">
        <v>14</v>
      </c>
      <c r="B178">
        <v>400</v>
      </c>
      <c r="C178">
        <v>123</v>
      </c>
      <c r="D178">
        <f t="shared" si="18"/>
        <v>400</v>
      </c>
      <c r="E178">
        <f t="shared" si="19"/>
        <v>14</v>
      </c>
      <c r="F178" s="1">
        <f>INDEX('App-Click Conversion by Rank'!$K$12:$S$31,MATCH(E178,'App-Click Conversion by Rank'!$J$12:$J$31,0),MATCH(D178,'App-Click Conversion by Rank'!$K$11:$S$11,0))</f>
        <v>4.6901172529313232E-3</v>
      </c>
      <c r="G178" s="3">
        <f t="shared" si="20"/>
        <v>0.5768844221105528</v>
      </c>
      <c r="H178" s="5">
        <f t="shared" si="21"/>
        <v>8.0763819095477398</v>
      </c>
      <c r="I178">
        <f t="shared" si="22"/>
        <v>1722</v>
      </c>
    </row>
    <row r="179" spans="1:9" x14ac:dyDescent="0.45">
      <c r="A179">
        <v>5</v>
      </c>
      <c r="B179">
        <v>250</v>
      </c>
      <c r="C179">
        <v>44</v>
      </c>
      <c r="D179">
        <f t="shared" si="18"/>
        <v>250</v>
      </c>
      <c r="E179">
        <f t="shared" si="19"/>
        <v>5</v>
      </c>
      <c r="F179" s="1">
        <f>INDEX('App-Click Conversion by Rank'!$K$12:$S$31,MATCH(E179,'App-Click Conversion by Rank'!$J$12:$J$31,0),MATCH(D179,'App-Click Conversion by Rank'!$K$11:$S$11,0))</f>
        <v>5.772594752186589E-2</v>
      </c>
      <c r="G179" s="3">
        <f t="shared" si="20"/>
        <v>2.5399416909620993</v>
      </c>
      <c r="H179" s="5">
        <f t="shared" si="21"/>
        <v>12.699708454810496</v>
      </c>
      <c r="I179">
        <f t="shared" si="22"/>
        <v>220</v>
      </c>
    </row>
    <row r="180" spans="1:9" x14ac:dyDescent="0.45">
      <c r="A180">
        <v>18</v>
      </c>
      <c r="B180">
        <v>300</v>
      </c>
      <c r="C180">
        <v>1</v>
      </c>
      <c r="D180">
        <f t="shared" si="18"/>
        <v>300</v>
      </c>
      <c r="E180">
        <f t="shared" si="19"/>
        <v>18</v>
      </c>
      <c r="F180" s="1">
        <f>INDEX('App-Click Conversion by Rank'!$K$12:$S$31,MATCH(E180,'App-Click Conversion by Rank'!$J$12:$J$31,0),MATCH(D180,'App-Click Conversion by Rank'!$K$11:$S$11,0))</f>
        <v>5.8708414872798431E-3</v>
      </c>
      <c r="G180" s="3">
        <f t="shared" si="20"/>
        <v>5.8708414872798431E-3</v>
      </c>
      <c r="H180" s="5">
        <f t="shared" si="21"/>
        <v>0.10567514677103718</v>
      </c>
      <c r="I180">
        <f t="shared" si="22"/>
        <v>18</v>
      </c>
    </row>
    <row r="181" spans="1:9" x14ac:dyDescent="0.45">
      <c r="A181">
        <v>11</v>
      </c>
      <c r="B181">
        <v>250</v>
      </c>
      <c r="C181">
        <v>24</v>
      </c>
      <c r="D181">
        <f t="shared" si="18"/>
        <v>250</v>
      </c>
      <c r="E181">
        <f t="shared" si="19"/>
        <v>11</v>
      </c>
      <c r="F181" s="1">
        <f>INDEX('App-Click Conversion by Rank'!$K$12:$S$31,MATCH(E181,'App-Click Conversion by Rank'!$J$12:$J$31,0),MATCH(D181,'App-Click Conversion by Rank'!$K$11:$S$11,0))</f>
        <v>8.7463556851311956E-3</v>
      </c>
      <c r="G181" s="3">
        <f t="shared" si="20"/>
        <v>0.2099125364431487</v>
      </c>
      <c r="H181" s="5">
        <f t="shared" si="21"/>
        <v>2.3090379008746358</v>
      </c>
      <c r="I181">
        <f t="shared" si="22"/>
        <v>264</v>
      </c>
    </row>
    <row r="182" spans="1:9" x14ac:dyDescent="0.45">
      <c r="A182">
        <v>27</v>
      </c>
      <c r="B182">
        <v>350</v>
      </c>
      <c r="C182">
        <v>9</v>
      </c>
      <c r="D182">
        <f t="shared" ref="D182:D245" si="23">IF(B182&lt;=150,"&lt;=150",IF(B182&gt;500,"501+",B182))</f>
        <v>350</v>
      </c>
      <c r="E182" t="str">
        <f t="shared" ref="E182:E245" si="24">IF(A182&gt;=20,"20+",A182)</f>
        <v>20+</v>
      </c>
      <c r="F182" s="1">
        <f>INDEX('App-Click Conversion by Rank'!$K$12:$S$31,MATCH(E182,'App-Click Conversion by Rank'!$J$12:$J$31,0),MATCH(D182,'App-Click Conversion by Rank'!$K$11:$S$11,0))</f>
        <v>4.1279669762641896E-3</v>
      </c>
      <c r="G182" s="3">
        <f t="shared" ref="G182:G245" si="25">C182*F182</f>
        <v>3.7151702786377708E-2</v>
      </c>
      <c r="H182" s="5">
        <f t="shared" ref="H182:H245" si="26">G182*A182</f>
        <v>1.0030959752321982</v>
      </c>
      <c r="I182">
        <f t="shared" ref="I182:I245" si="27">C182*A182</f>
        <v>243</v>
      </c>
    </row>
    <row r="183" spans="1:9" x14ac:dyDescent="0.45">
      <c r="A183">
        <v>32</v>
      </c>
      <c r="B183">
        <v>350</v>
      </c>
      <c r="C183">
        <v>1</v>
      </c>
      <c r="D183">
        <f t="shared" si="23"/>
        <v>350</v>
      </c>
      <c r="E183" t="str">
        <f t="shared" si="24"/>
        <v>20+</v>
      </c>
      <c r="F183" s="1">
        <f>INDEX('App-Click Conversion by Rank'!$K$12:$S$31,MATCH(E183,'App-Click Conversion by Rank'!$J$12:$J$31,0),MATCH(D183,'App-Click Conversion by Rank'!$K$11:$S$11,0))</f>
        <v>4.1279669762641896E-3</v>
      </c>
      <c r="G183" s="3">
        <f t="shared" si="25"/>
        <v>4.1279669762641896E-3</v>
      </c>
      <c r="H183" s="5">
        <f t="shared" si="26"/>
        <v>0.13209494324045407</v>
      </c>
      <c r="I183">
        <f t="shared" si="27"/>
        <v>32</v>
      </c>
    </row>
    <row r="184" spans="1:9" x14ac:dyDescent="0.45">
      <c r="A184">
        <v>38</v>
      </c>
      <c r="B184">
        <v>600</v>
      </c>
      <c r="C184">
        <v>2</v>
      </c>
      <c r="D184" t="str">
        <f t="shared" si="23"/>
        <v>501+</v>
      </c>
      <c r="E184" t="str">
        <f t="shared" si="24"/>
        <v>20+</v>
      </c>
      <c r="F184" s="1">
        <f>INDEX('App-Click Conversion by Rank'!$K$12:$S$31,MATCH(E184,'App-Click Conversion by Rank'!$J$12:$J$31,0),MATCH(D184,'App-Click Conversion by Rank'!$K$11:$S$11,0))</f>
        <v>5.9893958237873931E-3</v>
      </c>
      <c r="G184" s="3">
        <f t="shared" si="25"/>
        <v>1.1978791647574786E-2</v>
      </c>
      <c r="H184" s="5">
        <f t="shared" si="26"/>
        <v>0.45519408260784189</v>
      </c>
      <c r="I184">
        <f t="shared" si="27"/>
        <v>76</v>
      </c>
    </row>
    <row r="185" spans="1:9" x14ac:dyDescent="0.45">
      <c r="A185">
        <v>15</v>
      </c>
      <c r="B185">
        <v>250</v>
      </c>
      <c r="C185">
        <v>3</v>
      </c>
      <c r="D185">
        <f t="shared" si="23"/>
        <v>250</v>
      </c>
      <c r="E185">
        <f t="shared" si="24"/>
        <v>15</v>
      </c>
      <c r="F185" s="1">
        <f>INDEX('App-Click Conversion by Rank'!$K$12:$S$31,MATCH(E185,'App-Click Conversion by Rank'!$J$12:$J$31,0),MATCH(D185,'App-Click Conversion by Rank'!$K$11:$S$11,0))</f>
        <v>1.4084507042253521E-2</v>
      </c>
      <c r="G185" s="3">
        <f t="shared" si="25"/>
        <v>4.2253521126760563E-2</v>
      </c>
      <c r="H185" s="5">
        <f t="shared" si="26"/>
        <v>0.63380281690140849</v>
      </c>
      <c r="I185">
        <f t="shared" si="27"/>
        <v>45</v>
      </c>
    </row>
    <row r="186" spans="1:9" x14ac:dyDescent="0.45">
      <c r="A186">
        <v>16</v>
      </c>
      <c r="B186">
        <v>250</v>
      </c>
      <c r="C186">
        <v>3</v>
      </c>
      <c r="D186">
        <f t="shared" si="23"/>
        <v>250</v>
      </c>
      <c r="E186">
        <f t="shared" si="24"/>
        <v>16</v>
      </c>
      <c r="F186" s="1">
        <f>INDEX('App-Click Conversion by Rank'!$K$12:$S$31,MATCH(E186,'App-Click Conversion by Rank'!$J$12:$J$31,0),MATCH(D186,'App-Click Conversion by Rank'!$K$11:$S$11,0))</f>
        <v>8.5836909871244635E-3</v>
      </c>
      <c r="G186" s="3">
        <f t="shared" si="25"/>
        <v>2.575107296137339E-2</v>
      </c>
      <c r="H186" s="5">
        <f t="shared" si="26"/>
        <v>0.41201716738197425</v>
      </c>
      <c r="I186">
        <f t="shared" si="27"/>
        <v>48</v>
      </c>
    </row>
    <row r="187" spans="1:9" x14ac:dyDescent="0.45">
      <c r="A187">
        <v>6</v>
      </c>
      <c r="B187">
        <v>200</v>
      </c>
      <c r="C187">
        <v>2</v>
      </c>
      <c r="D187">
        <f t="shared" si="23"/>
        <v>200</v>
      </c>
      <c r="E187">
        <f t="shared" si="24"/>
        <v>6</v>
      </c>
      <c r="F187" s="1">
        <f>INDEX('App-Click Conversion by Rank'!$K$12:$S$31,MATCH(E187,'App-Click Conversion by Rank'!$J$12:$J$31,0),MATCH(D187,'App-Click Conversion by Rank'!$K$11:$S$11,0))</f>
        <v>3.486529318541997E-2</v>
      </c>
      <c r="G187" s="3">
        <f t="shared" si="25"/>
        <v>6.9730586370839939E-2</v>
      </c>
      <c r="H187" s="5">
        <f t="shared" si="26"/>
        <v>0.41838351822503961</v>
      </c>
      <c r="I187">
        <f t="shared" si="27"/>
        <v>12</v>
      </c>
    </row>
    <row r="188" spans="1:9" x14ac:dyDescent="0.45">
      <c r="A188">
        <v>17</v>
      </c>
      <c r="B188">
        <v>600</v>
      </c>
      <c r="C188">
        <v>11</v>
      </c>
      <c r="D188" t="str">
        <f t="shared" si="23"/>
        <v>501+</v>
      </c>
      <c r="E188">
        <f t="shared" si="24"/>
        <v>17</v>
      </c>
      <c r="F188" s="1">
        <f>INDEX('App-Click Conversion by Rank'!$K$12:$S$31,MATCH(E188,'App-Click Conversion by Rank'!$J$12:$J$31,0),MATCH(D188,'App-Click Conversion by Rank'!$K$11:$S$11,0))</f>
        <v>2.660901380342591E-3</v>
      </c>
      <c r="G188" s="3">
        <f t="shared" si="25"/>
        <v>2.9269915183768501E-2</v>
      </c>
      <c r="H188" s="5">
        <f t="shared" si="26"/>
        <v>0.4975885581240645</v>
      </c>
      <c r="I188">
        <f t="shared" si="27"/>
        <v>187</v>
      </c>
    </row>
    <row r="189" spans="1:9" x14ac:dyDescent="0.45">
      <c r="A189">
        <v>43</v>
      </c>
      <c r="B189">
        <v>550</v>
      </c>
      <c r="C189">
        <v>1</v>
      </c>
      <c r="D189" t="str">
        <f t="shared" si="23"/>
        <v>501+</v>
      </c>
      <c r="E189" t="str">
        <f t="shared" si="24"/>
        <v>20+</v>
      </c>
      <c r="F189" s="1">
        <f>INDEX('App-Click Conversion by Rank'!$K$12:$S$31,MATCH(E189,'App-Click Conversion by Rank'!$J$12:$J$31,0),MATCH(D189,'App-Click Conversion by Rank'!$K$11:$S$11,0))</f>
        <v>5.9893958237873931E-3</v>
      </c>
      <c r="G189" s="3">
        <f t="shared" si="25"/>
        <v>5.9893958237873931E-3</v>
      </c>
      <c r="H189" s="5">
        <f t="shared" si="26"/>
        <v>0.2575440204228579</v>
      </c>
      <c r="I189">
        <f t="shared" si="27"/>
        <v>43</v>
      </c>
    </row>
    <row r="190" spans="1:9" x14ac:dyDescent="0.45">
      <c r="A190">
        <v>1</v>
      </c>
      <c r="B190">
        <v>250</v>
      </c>
      <c r="C190">
        <v>3</v>
      </c>
      <c r="D190">
        <f t="shared" si="23"/>
        <v>250</v>
      </c>
      <c r="E190">
        <f t="shared" si="24"/>
        <v>1</v>
      </c>
      <c r="F190" s="1">
        <f>INDEX('App-Click Conversion by Rank'!$K$12:$S$31,MATCH(E190,'App-Click Conversion by Rank'!$J$12:$J$31,0),MATCH(D190,'App-Click Conversion by Rank'!$K$11:$S$11,0))</f>
        <v>0.3187376725838264</v>
      </c>
      <c r="G190" s="3">
        <f t="shared" si="25"/>
        <v>0.95621301775147916</v>
      </c>
      <c r="H190" s="5">
        <f t="shared" si="26"/>
        <v>0.95621301775147916</v>
      </c>
      <c r="I190">
        <f t="shared" si="27"/>
        <v>3</v>
      </c>
    </row>
    <row r="191" spans="1:9" x14ac:dyDescent="0.45">
      <c r="A191">
        <v>1</v>
      </c>
      <c r="B191">
        <v>200</v>
      </c>
      <c r="C191">
        <v>1</v>
      </c>
      <c r="D191">
        <f t="shared" si="23"/>
        <v>200</v>
      </c>
      <c r="E191">
        <f t="shared" si="24"/>
        <v>1</v>
      </c>
      <c r="F191" s="1">
        <f>INDEX('App-Click Conversion by Rank'!$K$12:$S$31,MATCH(E191,'App-Click Conversion by Rank'!$J$12:$J$31,0),MATCH(D191,'App-Click Conversion by Rank'!$K$11:$S$11,0))</f>
        <v>0.3141025641025641</v>
      </c>
      <c r="G191" s="3">
        <f t="shared" si="25"/>
        <v>0.3141025641025641</v>
      </c>
      <c r="H191" s="5">
        <f t="shared" si="26"/>
        <v>0.3141025641025641</v>
      </c>
      <c r="I191">
        <f t="shared" si="27"/>
        <v>1</v>
      </c>
    </row>
    <row r="192" spans="1:9" x14ac:dyDescent="0.45">
      <c r="A192">
        <v>35</v>
      </c>
      <c r="B192">
        <v>550</v>
      </c>
      <c r="C192">
        <v>52</v>
      </c>
      <c r="D192" t="str">
        <f t="shared" si="23"/>
        <v>501+</v>
      </c>
      <c r="E192" t="str">
        <f t="shared" si="24"/>
        <v>20+</v>
      </c>
      <c r="F192" s="1">
        <f>INDEX('App-Click Conversion by Rank'!$K$12:$S$31,MATCH(E192,'App-Click Conversion by Rank'!$J$12:$J$31,0),MATCH(D192,'App-Click Conversion by Rank'!$K$11:$S$11,0))</f>
        <v>5.9893958237873931E-3</v>
      </c>
      <c r="G192" s="3">
        <f t="shared" si="25"/>
        <v>0.31144858283694443</v>
      </c>
      <c r="H192" s="5">
        <f t="shared" si="26"/>
        <v>10.900700399293054</v>
      </c>
      <c r="I192">
        <f t="shared" si="27"/>
        <v>1820</v>
      </c>
    </row>
    <row r="193" spans="1:9" x14ac:dyDescent="0.45">
      <c r="A193">
        <v>6</v>
      </c>
      <c r="B193">
        <v>450</v>
      </c>
      <c r="C193">
        <v>325</v>
      </c>
      <c r="D193">
        <f t="shared" si="23"/>
        <v>450</v>
      </c>
      <c r="E193">
        <f t="shared" si="24"/>
        <v>6</v>
      </c>
      <c r="F193" s="1">
        <f>INDEX('App-Click Conversion by Rank'!$K$12:$S$31,MATCH(E193,'App-Click Conversion by Rank'!$J$12:$J$31,0),MATCH(D193,'App-Click Conversion by Rank'!$K$11:$S$11,0))</f>
        <v>2.4506126531632907E-2</v>
      </c>
      <c r="G193" s="3">
        <f t="shared" si="25"/>
        <v>7.9644911227806947</v>
      </c>
      <c r="H193" s="5">
        <f t="shared" si="26"/>
        <v>47.786946736684172</v>
      </c>
      <c r="I193">
        <f t="shared" si="27"/>
        <v>1950</v>
      </c>
    </row>
    <row r="194" spans="1:9" x14ac:dyDescent="0.45">
      <c r="A194">
        <v>16</v>
      </c>
      <c r="B194">
        <v>550</v>
      </c>
      <c r="C194">
        <v>195</v>
      </c>
      <c r="D194" t="str">
        <f t="shared" si="23"/>
        <v>501+</v>
      </c>
      <c r="E194">
        <f t="shared" si="24"/>
        <v>16</v>
      </c>
      <c r="F194" s="1">
        <f>INDEX('App-Click Conversion by Rank'!$K$12:$S$31,MATCH(E194,'App-Click Conversion by Rank'!$J$12:$J$31,0),MATCH(D194,'App-Click Conversion by Rank'!$K$11:$S$11,0))</f>
        <v>3.5842293906810036E-3</v>
      </c>
      <c r="G194" s="3">
        <f t="shared" si="25"/>
        <v>0.69892473118279574</v>
      </c>
      <c r="H194" s="5">
        <f t="shared" si="26"/>
        <v>11.182795698924732</v>
      </c>
      <c r="I194">
        <f t="shared" si="27"/>
        <v>3120</v>
      </c>
    </row>
    <row r="195" spans="1:9" x14ac:dyDescent="0.45">
      <c r="A195">
        <v>23</v>
      </c>
      <c r="B195">
        <v>600</v>
      </c>
      <c r="C195">
        <v>24</v>
      </c>
      <c r="D195" t="str">
        <f t="shared" si="23"/>
        <v>501+</v>
      </c>
      <c r="E195" t="str">
        <f t="shared" si="24"/>
        <v>20+</v>
      </c>
      <c r="F195" s="1">
        <f>INDEX('App-Click Conversion by Rank'!$K$12:$S$31,MATCH(E195,'App-Click Conversion by Rank'!$J$12:$J$31,0),MATCH(D195,'App-Click Conversion by Rank'!$K$11:$S$11,0))</f>
        <v>5.9893958237873931E-3</v>
      </c>
      <c r="G195" s="3">
        <f t="shared" si="25"/>
        <v>0.14374549977089743</v>
      </c>
      <c r="H195" s="5">
        <f t="shared" si="26"/>
        <v>3.3061464947306409</v>
      </c>
      <c r="I195">
        <f t="shared" si="27"/>
        <v>552</v>
      </c>
    </row>
    <row r="196" spans="1:9" x14ac:dyDescent="0.45">
      <c r="A196">
        <v>6</v>
      </c>
      <c r="B196">
        <v>350</v>
      </c>
      <c r="C196">
        <v>167</v>
      </c>
      <c r="D196">
        <f t="shared" si="23"/>
        <v>350</v>
      </c>
      <c r="E196">
        <f t="shared" si="24"/>
        <v>6</v>
      </c>
      <c r="F196" s="1">
        <f>INDEX('App-Click Conversion by Rank'!$K$12:$S$31,MATCH(E196,'App-Click Conversion by Rank'!$J$12:$J$31,0),MATCH(D196,'App-Click Conversion by Rank'!$K$11:$S$11,0))</f>
        <v>2.8679245283018868E-2</v>
      </c>
      <c r="G196" s="3">
        <f t="shared" si="25"/>
        <v>4.7894339622641509</v>
      </c>
      <c r="H196" s="5">
        <f t="shared" si="26"/>
        <v>28.736603773584903</v>
      </c>
      <c r="I196">
        <f t="shared" si="27"/>
        <v>1002</v>
      </c>
    </row>
    <row r="197" spans="1:9" x14ac:dyDescent="0.45">
      <c r="A197">
        <v>28</v>
      </c>
      <c r="B197">
        <v>550</v>
      </c>
      <c r="C197">
        <v>200</v>
      </c>
      <c r="D197" t="str">
        <f t="shared" si="23"/>
        <v>501+</v>
      </c>
      <c r="E197" t="str">
        <f t="shared" si="24"/>
        <v>20+</v>
      </c>
      <c r="F197" s="1">
        <f>INDEX('App-Click Conversion by Rank'!$K$12:$S$31,MATCH(E197,'App-Click Conversion by Rank'!$J$12:$J$31,0),MATCH(D197,'App-Click Conversion by Rank'!$K$11:$S$11,0))</f>
        <v>5.9893958237873931E-3</v>
      </c>
      <c r="G197" s="3">
        <f t="shared" si="25"/>
        <v>1.1978791647574787</v>
      </c>
      <c r="H197" s="5">
        <f t="shared" si="26"/>
        <v>33.540616613209401</v>
      </c>
      <c r="I197">
        <f t="shared" si="27"/>
        <v>5600</v>
      </c>
    </row>
    <row r="198" spans="1:9" x14ac:dyDescent="0.45">
      <c r="A198">
        <v>2</v>
      </c>
      <c r="B198">
        <v>350</v>
      </c>
      <c r="C198">
        <v>79</v>
      </c>
      <c r="D198">
        <f t="shared" si="23"/>
        <v>350</v>
      </c>
      <c r="E198">
        <f t="shared" si="24"/>
        <v>2</v>
      </c>
      <c r="F198" s="1">
        <f>INDEX('App-Click Conversion by Rank'!$K$12:$S$31,MATCH(E198,'App-Click Conversion by Rank'!$J$12:$J$31,0),MATCH(D198,'App-Click Conversion by Rank'!$K$11:$S$11,0))</f>
        <v>0.10566877890049665</v>
      </c>
      <c r="G198" s="3">
        <f t="shared" si="25"/>
        <v>8.3478335331392355</v>
      </c>
      <c r="H198" s="5">
        <f t="shared" si="26"/>
        <v>16.695667066278471</v>
      </c>
      <c r="I198">
        <f t="shared" si="27"/>
        <v>158</v>
      </c>
    </row>
    <row r="199" spans="1:9" x14ac:dyDescent="0.45">
      <c r="A199">
        <v>15</v>
      </c>
      <c r="B199">
        <v>600</v>
      </c>
      <c r="C199">
        <v>32</v>
      </c>
      <c r="D199" t="str">
        <f t="shared" si="23"/>
        <v>501+</v>
      </c>
      <c r="E199">
        <f t="shared" si="24"/>
        <v>15</v>
      </c>
      <c r="F199" s="1">
        <f>INDEX('App-Click Conversion by Rank'!$K$12:$S$31,MATCH(E199,'App-Click Conversion by Rank'!$J$12:$J$31,0),MATCH(D199,'App-Click Conversion by Rank'!$K$11:$S$11,0))</f>
        <v>3.3794657225619568E-3</v>
      </c>
      <c r="G199" s="3">
        <f t="shared" si="25"/>
        <v>0.10814290312198262</v>
      </c>
      <c r="H199" s="5">
        <f t="shared" si="26"/>
        <v>1.6221435468297392</v>
      </c>
      <c r="I199">
        <f t="shared" si="27"/>
        <v>480</v>
      </c>
    </row>
    <row r="200" spans="1:9" x14ac:dyDescent="0.45">
      <c r="A200">
        <v>18</v>
      </c>
      <c r="B200">
        <v>400</v>
      </c>
      <c r="C200">
        <v>40</v>
      </c>
      <c r="D200">
        <f t="shared" si="23"/>
        <v>400</v>
      </c>
      <c r="E200">
        <f t="shared" si="24"/>
        <v>18</v>
      </c>
      <c r="F200" s="1">
        <f>INDEX('App-Click Conversion by Rank'!$K$12:$S$31,MATCH(E200,'App-Click Conversion by Rank'!$J$12:$J$31,0),MATCH(D200,'App-Click Conversion by Rank'!$K$11:$S$11,0))</f>
        <v>3.8113387327298712E-3</v>
      </c>
      <c r="G200" s="3">
        <f t="shared" si="25"/>
        <v>0.15245354930919486</v>
      </c>
      <c r="H200" s="5">
        <f t="shared" si="26"/>
        <v>2.7441638875655077</v>
      </c>
      <c r="I200">
        <f t="shared" si="27"/>
        <v>720</v>
      </c>
    </row>
    <row r="201" spans="1:9" x14ac:dyDescent="0.45">
      <c r="A201">
        <v>17</v>
      </c>
      <c r="B201">
        <v>500</v>
      </c>
      <c r="C201">
        <v>278</v>
      </c>
      <c r="D201">
        <f t="shared" si="23"/>
        <v>500</v>
      </c>
      <c r="E201">
        <f t="shared" si="24"/>
        <v>17</v>
      </c>
      <c r="F201" s="1">
        <f>INDEX('App-Click Conversion by Rank'!$K$12:$S$31,MATCH(E201,'App-Click Conversion by Rank'!$J$12:$J$31,0),MATCH(D201,'App-Click Conversion by Rank'!$K$11:$S$11,0))</f>
        <v>3.625290023201856E-3</v>
      </c>
      <c r="G201" s="3">
        <f t="shared" si="25"/>
        <v>1.007830626450116</v>
      </c>
      <c r="H201" s="5">
        <f t="shared" si="26"/>
        <v>17.133120649651971</v>
      </c>
      <c r="I201">
        <f t="shared" si="27"/>
        <v>4726</v>
      </c>
    </row>
    <row r="202" spans="1:9" x14ac:dyDescent="0.45">
      <c r="A202">
        <v>2</v>
      </c>
      <c r="B202">
        <v>450</v>
      </c>
      <c r="C202">
        <v>49</v>
      </c>
      <c r="D202">
        <f t="shared" si="23"/>
        <v>450</v>
      </c>
      <c r="E202">
        <f t="shared" si="24"/>
        <v>2</v>
      </c>
      <c r="F202" s="1">
        <f>INDEX('App-Click Conversion by Rank'!$K$12:$S$31,MATCH(E202,'App-Click Conversion by Rank'!$J$12:$J$31,0),MATCH(D202,'App-Click Conversion by Rank'!$K$11:$S$11,0))</f>
        <v>7.482403898213319E-2</v>
      </c>
      <c r="G202" s="3">
        <f t="shared" si="25"/>
        <v>3.6663779101245262</v>
      </c>
      <c r="H202" s="5">
        <f t="shared" si="26"/>
        <v>7.3327558202490524</v>
      </c>
      <c r="I202">
        <f t="shared" si="27"/>
        <v>98</v>
      </c>
    </row>
    <row r="203" spans="1:9" x14ac:dyDescent="0.45">
      <c r="A203">
        <v>38</v>
      </c>
      <c r="B203">
        <v>500</v>
      </c>
      <c r="C203">
        <v>12</v>
      </c>
      <c r="D203">
        <f t="shared" si="23"/>
        <v>500</v>
      </c>
      <c r="E203" t="str">
        <f t="shared" si="24"/>
        <v>20+</v>
      </c>
      <c r="F203" s="1">
        <f>INDEX('App-Click Conversion by Rank'!$K$12:$S$31,MATCH(E203,'App-Click Conversion by Rank'!$J$12:$J$31,0),MATCH(D203,'App-Click Conversion by Rank'!$K$11:$S$11,0))</f>
        <v>5.1121544079290558E-3</v>
      </c>
      <c r="G203" s="3">
        <f t="shared" si="25"/>
        <v>6.134585289514867E-2</v>
      </c>
      <c r="H203" s="5">
        <f t="shared" si="26"/>
        <v>2.3311424100156493</v>
      </c>
      <c r="I203">
        <f t="shared" si="27"/>
        <v>456</v>
      </c>
    </row>
    <row r="204" spans="1:9" x14ac:dyDescent="0.45">
      <c r="A204">
        <v>34</v>
      </c>
      <c r="B204">
        <v>400</v>
      </c>
      <c r="C204">
        <v>3</v>
      </c>
      <c r="D204">
        <f t="shared" si="23"/>
        <v>400</v>
      </c>
      <c r="E204" t="str">
        <f t="shared" si="24"/>
        <v>20+</v>
      </c>
      <c r="F204" s="1">
        <f>INDEX('App-Click Conversion by Rank'!$K$12:$S$31,MATCH(E204,'App-Click Conversion by Rank'!$J$12:$J$31,0),MATCH(D204,'App-Click Conversion by Rank'!$K$11:$S$11,0))</f>
        <v>6.4196625091709463E-3</v>
      </c>
      <c r="G204" s="3">
        <f t="shared" si="25"/>
        <v>1.9258987527512837E-2</v>
      </c>
      <c r="H204" s="5">
        <f t="shared" si="26"/>
        <v>0.65480557593543642</v>
      </c>
      <c r="I204">
        <f t="shared" si="27"/>
        <v>102</v>
      </c>
    </row>
    <row r="205" spans="1:9" x14ac:dyDescent="0.45">
      <c r="A205">
        <v>5</v>
      </c>
      <c r="B205">
        <v>300</v>
      </c>
      <c r="C205">
        <v>48</v>
      </c>
      <c r="D205">
        <f t="shared" si="23"/>
        <v>300</v>
      </c>
      <c r="E205">
        <f t="shared" si="24"/>
        <v>5</v>
      </c>
      <c r="F205" s="1">
        <f>INDEX('App-Click Conversion by Rank'!$K$12:$S$31,MATCH(E205,'App-Click Conversion by Rank'!$J$12:$J$31,0),MATCH(D205,'App-Click Conversion by Rank'!$K$11:$S$11,0))</f>
        <v>4.7058823529411764E-2</v>
      </c>
      <c r="G205" s="3">
        <f t="shared" si="25"/>
        <v>2.2588235294117647</v>
      </c>
      <c r="H205" s="5">
        <f t="shared" si="26"/>
        <v>11.294117647058822</v>
      </c>
      <c r="I205">
        <f t="shared" si="27"/>
        <v>240</v>
      </c>
    </row>
    <row r="206" spans="1:9" x14ac:dyDescent="0.45">
      <c r="A206">
        <v>5</v>
      </c>
      <c r="B206">
        <v>150</v>
      </c>
      <c r="C206">
        <v>8</v>
      </c>
      <c r="D206" t="str">
        <f t="shared" si="23"/>
        <v>&lt;=150</v>
      </c>
      <c r="E206">
        <f t="shared" si="24"/>
        <v>5</v>
      </c>
      <c r="F206" s="1">
        <f>INDEX('App-Click Conversion by Rank'!$K$12:$S$31,MATCH(E206,'App-Click Conversion by Rank'!$J$12:$J$31,0),MATCH(D206,'App-Click Conversion by Rank'!$K$11:$S$11,0))</f>
        <v>8.11965811965812E-2</v>
      </c>
      <c r="G206" s="3">
        <f t="shared" si="25"/>
        <v>0.6495726495726496</v>
      </c>
      <c r="H206" s="5">
        <f t="shared" si="26"/>
        <v>3.2478632478632479</v>
      </c>
      <c r="I206">
        <f t="shared" si="27"/>
        <v>40</v>
      </c>
    </row>
    <row r="207" spans="1:9" x14ac:dyDescent="0.45">
      <c r="A207">
        <v>24</v>
      </c>
      <c r="B207">
        <v>400</v>
      </c>
      <c r="C207">
        <v>21</v>
      </c>
      <c r="D207">
        <f t="shared" si="23"/>
        <v>400</v>
      </c>
      <c r="E207" t="str">
        <f t="shared" si="24"/>
        <v>20+</v>
      </c>
      <c r="F207" s="1">
        <f>INDEX('App-Click Conversion by Rank'!$K$12:$S$31,MATCH(E207,'App-Click Conversion by Rank'!$J$12:$J$31,0),MATCH(D207,'App-Click Conversion by Rank'!$K$11:$S$11,0))</f>
        <v>6.4196625091709463E-3</v>
      </c>
      <c r="G207" s="3">
        <f t="shared" si="25"/>
        <v>0.13481291269258988</v>
      </c>
      <c r="H207" s="5">
        <f t="shared" si="26"/>
        <v>3.2355099046221572</v>
      </c>
      <c r="I207">
        <f t="shared" si="27"/>
        <v>504</v>
      </c>
    </row>
    <row r="208" spans="1:9" x14ac:dyDescent="0.45">
      <c r="A208">
        <v>13</v>
      </c>
      <c r="B208">
        <v>200</v>
      </c>
      <c r="C208">
        <v>9</v>
      </c>
      <c r="D208">
        <f t="shared" si="23"/>
        <v>200</v>
      </c>
      <c r="E208">
        <f t="shared" si="24"/>
        <v>13</v>
      </c>
      <c r="F208" s="1">
        <f>INDEX('App-Click Conversion by Rank'!$K$12:$S$31,MATCH(E208,'App-Click Conversion by Rank'!$J$12:$J$31,0),MATCH(D208,'App-Click Conversion by Rank'!$K$11:$S$11,0))</f>
        <v>7.3529411764705881E-3</v>
      </c>
      <c r="G208" s="3">
        <f t="shared" si="25"/>
        <v>6.6176470588235295E-2</v>
      </c>
      <c r="H208" s="5">
        <f t="shared" si="26"/>
        <v>0.86029411764705888</v>
      </c>
      <c r="I208">
        <f t="shared" si="27"/>
        <v>117</v>
      </c>
    </row>
    <row r="209" spans="1:9" x14ac:dyDescent="0.45">
      <c r="A209">
        <v>37</v>
      </c>
      <c r="B209">
        <v>600</v>
      </c>
      <c r="C209">
        <v>9</v>
      </c>
      <c r="D209" t="str">
        <f t="shared" si="23"/>
        <v>501+</v>
      </c>
      <c r="E209" t="str">
        <f t="shared" si="24"/>
        <v>20+</v>
      </c>
      <c r="F209" s="1">
        <f>INDEX('App-Click Conversion by Rank'!$K$12:$S$31,MATCH(E209,'App-Click Conversion by Rank'!$J$12:$J$31,0),MATCH(D209,'App-Click Conversion by Rank'!$K$11:$S$11,0))</f>
        <v>5.9893958237873931E-3</v>
      </c>
      <c r="G209" s="3">
        <f t="shared" si="25"/>
        <v>5.3904562414086539E-2</v>
      </c>
      <c r="H209" s="5">
        <f t="shared" si="26"/>
        <v>1.994468809321202</v>
      </c>
      <c r="I209">
        <f t="shared" si="27"/>
        <v>333</v>
      </c>
    </row>
    <row r="210" spans="1:9" x14ac:dyDescent="0.45">
      <c r="A210">
        <v>15</v>
      </c>
      <c r="B210">
        <v>650</v>
      </c>
      <c r="C210">
        <v>8</v>
      </c>
      <c r="D210" t="str">
        <f t="shared" si="23"/>
        <v>501+</v>
      </c>
      <c r="E210">
        <f t="shared" si="24"/>
        <v>15</v>
      </c>
      <c r="F210" s="1">
        <f>INDEX('App-Click Conversion by Rank'!$K$12:$S$31,MATCH(E210,'App-Click Conversion by Rank'!$J$12:$J$31,0),MATCH(D210,'App-Click Conversion by Rank'!$K$11:$S$11,0))</f>
        <v>3.3794657225619568E-3</v>
      </c>
      <c r="G210" s="3">
        <f t="shared" si="25"/>
        <v>2.7035725780495654E-2</v>
      </c>
      <c r="H210" s="5">
        <f t="shared" si="26"/>
        <v>0.40553588670743479</v>
      </c>
      <c r="I210">
        <f t="shared" si="27"/>
        <v>120</v>
      </c>
    </row>
    <row r="211" spans="1:9" x14ac:dyDescent="0.45">
      <c r="A211">
        <v>1</v>
      </c>
      <c r="B211">
        <v>550</v>
      </c>
      <c r="C211">
        <v>2</v>
      </c>
      <c r="D211" t="str">
        <f t="shared" si="23"/>
        <v>501+</v>
      </c>
      <c r="E211">
        <f t="shared" si="24"/>
        <v>1</v>
      </c>
      <c r="F211" s="1">
        <f>INDEX('App-Click Conversion by Rank'!$K$12:$S$31,MATCH(E211,'App-Click Conversion by Rank'!$J$12:$J$31,0),MATCH(D211,'App-Click Conversion by Rank'!$K$11:$S$11,0))</f>
        <v>0.12719738824711199</v>
      </c>
      <c r="G211" s="3">
        <f t="shared" si="25"/>
        <v>0.25439477649422398</v>
      </c>
      <c r="H211" s="5">
        <f t="shared" si="26"/>
        <v>0.25439477649422398</v>
      </c>
      <c r="I211">
        <f t="shared" si="27"/>
        <v>2</v>
      </c>
    </row>
    <row r="212" spans="1:9" x14ac:dyDescent="0.45">
      <c r="A212">
        <v>41</v>
      </c>
      <c r="B212">
        <v>500</v>
      </c>
      <c r="C212">
        <v>3</v>
      </c>
      <c r="D212">
        <f t="shared" si="23"/>
        <v>500</v>
      </c>
      <c r="E212" t="str">
        <f t="shared" si="24"/>
        <v>20+</v>
      </c>
      <c r="F212" s="1">
        <f>INDEX('App-Click Conversion by Rank'!$K$12:$S$31,MATCH(E212,'App-Click Conversion by Rank'!$J$12:$J$31,0),MATCH(D212,'App-Click Conversion by Rank'!$K$11:$S$11,0))</f>
        <v>5.1121544079290558E-3</v>
      </c>
      <c r="G212" s="3">
        <f t="shared" si="25"/>
        <v>1.5336463223787167E-2</v>
      </c>
      <c r="H212" s="5">
        <f t="shared" si="26"/>
        <v>0.6287949921752739</v>
      </c>
      <c r="I212">
        <f t="shared" si="27"/>
        <v>123</v>
      </c>
    </row>
    <row r="213" spans="1:9" x14ac:dyDescent="0.45">
      <c r="A213">
        <v>35</v>
      </c>
      <c r="B213">
        <v>650</v>
      </c>
      <c r="C213">
        <v>1</v>
      </c>
      <c r="D213" t="str">
        <f t="shared" si="23"/>
        <v>501+</v>
      </c>
      <c r="E213" t="str">
        <f t="shared" si="24"/>
        <v>20+</v>
      </c>
      <c r="F213" s="1">
        <f>INDEX('App-Click Conversion by Rank'!$K$12:$S$31,MATCH(E213,'App-Click Conversion by Rank'!$J$12:$J$31,0),MATCH(D213,'App-Click Conversion by Rank'!$K$11:$S$11,0))</f>
        <v>5.9893958237873931E-3</v>
      </c>
      <c r="G213" s="3">
        <f t="shared" si="25"/>
        <v>5.9893958237873931E-3</v>
      </c>
      <c r="H213" s="5">
        <f t="shared" si="26"/>
        <v>0.20962885383255875</v>
      </c>
      <c r="I213">
        <f t="shared" si="27"/>
        <v>35</v>
      </c>
    </row>
    <row r="214" spans="1:9" x14ac:dyDescent="0.45">
      <c r="A214">
        <v>5</v>
      </c>
      <c r="B214">
        <v>650</v>
      </c>
      <c r="C214">
        <v>1</v>
      </c>
      <c r="D214" t="str">
        <f t="shared" si="23"/>
        <v>501+</v>
      </c>
      <c r="E214">
        <f t="shared" si="24"/>
        <v>5</v>
      </c>
      <c r="F214" s="1">
        <f>INDEX('App-Click Conversion by Rank'!$K$12:$S$31,MATCH(E214,'App-Click Conversion by Rank'!$J$12:$J$31,0),MATCH(D214,'App-Click Conversion by Rank'!$K$11:$S$11,0))</f>
        <v>2.0504113882721692E-2</v>
      </c>
      <c r="G214" s="3">
        <f t="shared" si="25"/>
        <v>2.0504113882721692E-2</v>
      </c>
      <c r="H214" s="5">
        <f t="shared" si="26"/>
        <v>0.10252056941360846</v>
      </c>
      <c r="I214">
        <f t="shared" si="27"/>
        <v>5</v>
      </c>
    </row>
    <row r="215" spans="1:9" x14ac:dyDescent="0.45">
      <c r="A215">
        <v>4</v>
      </c>
      <c r="B215">
        <v>150</v>
      </c>
      <c r="C215">
        <v>3</v>
      </c>
      <c r="D215" t="str">
        <f t="shared" si="23"/>
        <v>&lt;=150</v>
      </c>
      <c r="E215">
        <f t="shared" si="24"/>
        <v>4</v>
      </c>
      <c r="F215" s="1">
        <f>INDEX('App-Click Conversion by Rank'!$K$12:$S$31,MATCH(E215,'App-Click Conversion by Rank'!$J$12:$J$31,0),MATCH(D215,'App-Click Conversion by Rank'!$K$11:$S$11,0))</f>
        <v>0.12549019607843137</v>
      </c>
      <c r="G215" s="3">
        <f t="shared" si="25"/>
        <v>0.37647058823529411</v>
      </c>
      <c r="H215" s="5">
        <f t="shared" si="26"/>
        <v>1.5058823529411764</v>
      </c>
      <c r="I215">
        <f t="shared" si="27"/>
        <v>12</v>
      </c>
    </row>
    <row r="216" spans="1:9" x14ac:dyDescent="0.45">
      <c r="A216">
        <v>39</v>
      </c>
      <c r="B216">
        <v>550</v>
      </c>
      <c r="C216">
        <v>23</v>
      </c>
      <c r="D216" t="str">
        <f t="shared" si="23"/>
        <v>501+</v>
      </c>
      <c r="E216" t="str">
        <f t="shared" si="24"/>
        <v>20+</v>
      </c>
      <c r="F216" s="1">
        <f>INDEX('App-Click Conversion by Rank'!$K$12:$S$31,MATCH(E216,'App-Click Conversion by Rank'!$J$12:$J$31,0),MATCH(D216,'App-Click Conversion by Rank'!$K$11:$S$11,0))</f>
        <v>5.9893958237873931E-3</v>
      </c>
      <c r="G216" s="3">
        <f t="shared" si="25"/>
        <v>0.13775610394711005</v>
      </c>
      <c r="H216" s="5">
        <f t="shared" si="26"/>
        <v>5.3724880539372917</v>
      </c>
      <c r="I216">
        <f t="shared" si="27"/>
        <v>897</v>
      </c>
    </row>
    <row r="217" spans="1:9" x14ac:dyDescent="0.45">
      <c r="A217">
        <v>27</v>
      </c>
      <c r="B217">
        <v>500</v>
      </c>
      <c r="C217">
        <v>155</v>
      </c>
      <c r="D217">
        <f t="shared" si="23"/>
        <v>500</v>
      </c>
      <c r="E217" t="str">
        <f t="shared" si="24"/>
        <v>20+</v>
      </c>
      <c r="F217" s="1">
        <f>INDEX('App-Click Conversion by Rank'!$K$12:$S$31,MATCH(E217,'App-Click Conversion by Rank'!$J$12:$J$31,0),MATCH(D217,'App-Click Conversion by Rank'!$K$11:$S$11,0))</f>
        <v>5.1121544079290558E-3</v>
      </c>
      <c r="G217" s="3">
        <f t="shared" si="25"/>
        <v>0.79238393322900369</v>
      </c>
      <c r="H217" s="5">
        <f t="shared" si="26"/>
        <v>21.3943661971831</v>
      </c>
      <c r="I217">
        <f t="shared" si="27"/>
        <v>4185</v>
      </c>
    </row>
    <row r="218" spans="1:9" x14ac:dyDescent="0.45">
      <c r="A218">
        <v>21</v>
      </c>
      <c r="B218">
        <v>550</v>
      </c>
      <c r="C218">
        <v>219</v>
      </c>
      <c r="D218" t="str">
        <f t="shared" si="23"/>
        <v>501+</v>
      </c>
      <c r="E218" t="str">
        <f t="shared" si="24"/>
        <v>20+</v>
      </c>
      <c r="F218" s="1">
        <f>INDEX('App-Click Conversion by Rank'!$K$12:$S$31,MATCH(E218,'App-Click Conversion by Rank'!$J$12:$J$31,0),MATCH(D218,'App-Click Conversion by Rank'!$K$11:$S$11,0))</f>
        <v>5.9893958237873931E-3</v>
      </c>
      <c r="G218" s="3">
        <f t="shared" si="25"/>
        <v>1.3116776854094392</v>
      </c>
      <c r="H218" s="5">
        <f t="shared" si="26"/>
        <v>27.545231393598222</v>
      </c>
      <c r="I218">
        <f t="shared" si="27"/>
        <v>4599</v>
      </c>
    </row>
    <row r="219" spans="1:9" x14ac:dyDescent="0.45">
      <c r="A219">
        <v>8</v>
      </c>
      <c r="B219">
        <v>400</v>
      </c>
      <c r="C219">
        <v>294</v>
      </c>
      <c r="D219">
        <f t="shared" si="23"/>
        <v>400</v>
      </c>
      <c r="E219">
        <f t="shared" si="24"/>
        <v>8</v>
      </c>
      <c r="F219" s="1">
        <f>INDEX('App-Click Conversion by Rank'!$K$12:$S$31,MATCH(E219,'App-Click Conversion by Rank'!$J$12:$J$31,0),MATCH(D219,'App-Click Conversion by Rank'!$K$11:$S$11,0))</f>
        <v>1.1600471883602045E-2</v>
      </c>
      <c r="G219" s="3">
        <f t="shared" si="25"/>
        <v>3.4105387337790014</v>
      </c>
      <c r="H219" s="5">
        <f t="shared" si="26"/>
        <v>27.284309870232011</v>
      </c>
      <c r="I219">
        <f t="shared" si="27"/>
        <v>2352</v>
      </c>
    </row>
    <row r="220" spans="1:9" x14ac:dyDescent="0.45">
      <c r="A220">
        <v>33</v>
      </c>
      <c r="B220">
        <v>600</v>
      </c>
      <c r="C220">
        <v>24</v>
      </c>
      <c r="D220" t="str">
        <f t="shared" si="23"/>
        <v>501+</v>
      </c>
      <c r="E220" t="str">
        <f t="shared" si="24"/>
        <v>20+</v>
      </c>
      <c r="F220" s="1">
        <f>INDEX('App-Click Conversion by Rank'!$K$12:$S$31,MATCH(E220,'App-Click Conversion by Rank'!$J$12:$J$31,0),MATCH(D220,'App-Click Conversion by Rank'!$K$11:$S$11,0))</f>
        <v>5.9893958237873931E-3</v>
      </c>
      <c r="G220" s="3">
        <f t="shared" si="25"/>
        <v>0.14374549977089743</v>
      </c>
      <c r="H220" s="5">
        <f t="shared" si="26"/>
        <v>4.7436014924396153</v>
      </c>
      <c r="I220">
        <f t="shared" si="27"/>
        <v>792</v>
      </c>
    </row>
    <row r="221" spans="1:9" x14ac:dyDescent="0.45">
      <c r="A221">
        <v>38</v>
      </c>
      <c r="B221">
        <v>550</v>
      </c>
      <c r="C221">
        <v>26</v>
      </c>
      <c r="D221" t="str">
        <f t="shared" si="23"/>
        <v>501+</v>
      </c>
      <c r="E221" t="str">
        <f t="shared" si="24"/>
        <v>20+</v>
      </c>
      <c r="F221" s="1">
        <f>INDEX('App-Click Conversion by Rank'!$K$12:$S$31,MATCH(E221,'App-Click Conversion by Rank'!$J$12:$J$31,0),MATCH(D221,'App-Click Conversion by Rank'!$K$11:$S$11,0))</f>
        <v>5.9893958237873931E-3</v>
      </c>
      <c r="G221" s="3">
        <f t="shared" si="25"/>
        <v>0.15572429141847222</v>
      </c>
      <c r="H221" s="5">
        <f t="shared" si="26"/>
        <v>5.9175230739019442</v>
      </c>
      <c r="I221">
        <f t="shared" si="27"/>
        <v>988</v>
      </c>
    </row>
    <row r="222" spans="1:9" x14ac:dyDescent="0.45">
      <c r="A222">
        <v>3</v>
      </c>
      <c r="B222">
        <v>500</v>
      </c>
      <c r="C222">
        <v>95</v>
      </c>
      <c r="D222">
        <f t="shared" si="23"/>
        <v>500</v>
      </c>
      <c r="E222">
        <f t="shared" si="24"/>
        <v>3</v>
      </c>
      <c r="F222" s="1">
        <f>INDEX('App-Click Conversion by Rank'!$K$12:$S$31,MATCH(E222,'App-Click Conversion by Rank'!$J$12:$J$31,0),MATCH(D222,'App-Click Conversion by Rank'!$K$11:$S$11,0))</f>
        <v>4.693648116919618E-2</v>
      </c>
      <c r="G222" s="3">
        <f t="shared" si="25"/>
        <v>4.4589657110736374</v>
      </c>
      <c r="H222" s="5">
        <f t="shared" si="26"/>
        <v>13.376897133220911</v>
      </c>
      <c r="I222">
        <f t="shared" si="27"/>
        <v>285</v>
      </c>
    </row>
    <row r="223" spans="1:9" x14ac:dyDescent="0.45">
      <c r="A223">
        <v>21</v>
      </c>
      <c r="B223">
        <v>500</v>
      </c>
      <c r="C223">
        <v>306</v>
      </c>
      <c r="D223">
        <f t="shared" si="23"/>
        <v>500</v>
      </c>
      <c r="E223" t="str">
        <f t="shared" si="24"/>
        <v>20+</v>
      </c>
      <c r="F223" s="1">
        <f>INDEX('App-Click Conversion by Rank'!$K$12:$S$31,MATCH(E223,'App-Click Conversion by Rank'!$J$12:$J$31,0),MATCH(D223,'App-Click Conversion by Rank'!$K$11:$S$11,0))</f>
        <v>5.1121544079290558E-3</v>
      </c>
      <c r="G223" s="3">
        <f t="shared" si="25"/>
        <v>1.5643192488262911</v>
      </c>
      <c r="H223" s="5">
        <f t="shared" si="26"/>
        <v>32.850704225352111</v>
      </c>
      <c r="I223">
        <f t="shared" si="27"/>
        <v>6426</v>
      </c>
    </row>
    <row r="224" spans="1:9" x14ac:dyDescent="0.45">
      <c r="A224">
        <v>30</v>
      </c>
      <c r="B224">
        <v>600</v>
      </c>
      <c r="C224">
        <v>16</v>
      </c>
      <c r="D224" t="str">
        <f t="shared" si="23"/>
        <v>501+</v>
      </c>
      <c r="E224" t="str">
        <f t="shared" si="24"/>
        <v>20+</v>
      </c>
      <c r="F224" s="1">
        <f>INDEX('App-Click Conversion by Rank'!$K$12:$S$31,MATCH(E224,'App-Click Conversion by Rank'!$J$12:$J$31,0),MATCH(D224,'App-Click Conversion by Rank'!$K$11:$S$11,0))</f>
        <v>5.9893958237873931E-3</v>
      </c>
      <c r="G224" s="3">
        <f t="shared" si="25"/>
        <v>9.583033318059829E-2</v>
      </c>
      <c r="H224" s="5">
        <f t="shared" si="26"/>
        <v>2.8749099954179487</v>
      </c>
      <c r="I224">
        <f t="shared" si="27"/>
        <v>480</v>
      </c>
    </row>
    <row r="225" spans="1:9" x14ac:dyDescent="0.45">
      <c r="A225">
        <v>6</v>
      </c>
      <c r="B225">
        <v>550</v>
      </c>
      <c r="C225">
        <v>95</v>
      </c>
      <c r="D225" t="str">
        <f t="shared" si="23"/>
        <v>501+</v>
      </c>
      <c r="E225">
        <f t="shared" si="24"/>
        <v>6</v>
      </c>
      <c r="F225" s="1">
        <f>INDEX('App-Click Conversion by Rank'!$K$12:$S$31,MATCH(E225,'App-Click Conversion by Rank'!$J$12:$J$31,0),MATCH(D225,'App-Click Conversion by Rank'!$K$11:$S$11,0))</f>
        <v>2.4383744170552963E-2</v>
      </c>
      <c r="G225" s="3">
        <f t="shared" si="25"/>
        <v>2.3164556962025316</v>
      </c>
      <c r="H225" s="5">
        <f t="shared" si="26"/>
        <v>13.898734177215189</v>
      </c>
      <c r="I225">
        <f t="shared" si="27"/>
        <v>570</v>
      </c>
    </row>
    <row r="226" spans="1:9" x14ac:dyDescent="0.45">
      <c r="A226">
        <v>22</v>
      </c>
      <c r="B226">
        <v>400</v>
      </c>
      <c r="C226">
        <v>35</v>
      </c>
      <c r="D226">
        <f t="shared" si="23"/>
        <v>400</v>
      </c>
      <c r="E226" t="str">
        <f t="shared" si="24"/>
        <v>20+</v>
      </c>
      <c r="F226" s="1">
        <f>INDEX('App-Click Conversion by Rank'!$K$12:$S$31,MATCH(E226,'App-Click Conversion by Rank'!$J$12:$J$31,0),MATCH(D226,'App-Click Conversion by Rank'!$K$11:$S$11,0))</f>
        <v>6.4196625091709463E-3</v>
      </c>
      <c r="G226" s="3">
        <f t="shared" si="25"/>
        <v>0.22468818782098313</v>
      </c>
      <c r="H226" s="5">
        <f t="shared" si="26"/>
        <v>4.9431401320616288</v>
      </c>
      <c r="I226">
        <f t="shared" si="27"/>
        <v>770</v>
      </c>
    </row>
    <row r="227" spans="1:9" x14ac:dyDescent="0.45">
      <c r="A227">
        <v>2</v>
      </c>
      <c r="B227">
        <v>550</v>
      </c>
      <c r="C227">
        <v>14</v>
      </c>
      <c r="D227" t="str">
        <f t="shared" si="23"/>
        <v>501+</v>
      </c>
      <c r="E227">
        <f t="shared" si="24"/>
        <v>2</v>
      </c>
      <c r="F227" s="1">
        <f>INDEX('App-Click Conversion by Rank'!$K$12:$S$31,MATCH(E227,'App-Click Conversion by Rank'!$J$12:$J$31,0),MATCH(D227,'App-Click Conversion by Rank'!$K$11:$S$11,0))</f>
        <v>7.5343344885123856E-2</v>
      </c>
      <c r="G227" s="3">
        <f t="shared" si="25"/>
        <v>1.054806828391734</v>
      </c>
      <c r="H227" s="5">
        <f t="shared" si="26"/>
        <v>2.109613656783468</v>
      </c>
      <c r="I227">
        <f t="shared" si="27"/>
        <v>28</v>
      </c>
    </row>
    <row r="228" spans="1:9" x14ac:dyDescent="0.45">
      <c r="A228">
        <v>38</v>
      </c>
      <c r="B228">
        <v>450</v>
      </c>
      <c r="C228">
        <v>2</v>
      </c>
      <c r="D228">
        <f t="shared" si="23"/>
        <v>450</v>
      </c>
      <c r="E228" t="str">
        <f t="shared" si="24"/>
        <v>20+</v>
      </c>
      <c r="F228" s="1">
        <f>INDEX('App-Click Conversion by Rank'!$K$12:$S$31,MATCH(E228,'App-Click Conversion by Rank'!$J$12:$J$31,0),MATCH(D228,'App-Click Conversion by Rank'!$K$11:$S$11,0))</f>
        <v>5.6022408963585435E-3</v>
      </c>
      <c r="G228" s="3">
        <f t="shared" si="25"/>
        <v>1.1204481792717087E-2</v>
      </c>
      <c r="H228" s="5">
        <f t="shared" si="26"/>
        <v>0.42577030812324929</v>
      </c>
      <c r="I228">
        <f t="shared" si="27"/>
        <v>76</v>
      </c>
    </row>
    <row r="229" spans="1:9" x14ac:dyDescent="0.45">
      <c r="A229">
        <v>6</v>
      </c>
      <c r="B229">
        <v>650</v>
      </c>
      <c r="C229">
        <v>2</v>
      </c>
      <c r="D229" t="str">
        <f t="shared" si="23"/>
        <v>501+</v>
      </c>
      <c r="E229">
        <f t="shared" si="24"/>
        <v>6</v>
      </c>
      <c r="F229" s="1">
        <f>INDEX('App-Click Conversion by Rank'!$K$12:$S$31,MATCH(E229,'App-Click Conversion by Rank'!$J$12:$J$31,0),MATCH(D229,'App-Click Conversion by Rank'!$K$11:$S$11,0))</f>
        <v>2.4383744170552963E-2</v>
      </c>
      <c r="G229" s="3">
        <f t="shared" si="25"/>
        <v>4.8767488341105926E-2</v>
      </c>
      <c r="H229" s="5">
        <f t="shared" si="26"/>
        <v>0.29260493004663557</v>
      </c>
      <c r="I229">
        <f t="shared" si="27"/>
        <v>12</v>
      </c>
    </row>
    <row r="230" spans="1:9" x14ac:dyDescent="0.45">
      <c r="A230">
        <v>13</v>
      </c>
      <c r="B230">
        <v>300</v>
      </c>
      <c r="C230">
        <v>19</v>
      </c>
      <c r="D230">
        <f t="shared" si="23"/>
        <v>300</v>
      </c>
      <c r="E230">
        <f t="shared" si="24"/>
        <v>13</v>
      </c>
      <c r="F230" s="1">
        <f>INDEX('App-Click Conversion by Rank'!$K$12:$S$31,MATCH(E230,'App-Click Conversion by Rank'!$J$12:$J$31,0),MATCH(D230,'App-Click Conversion by Rank'!$K$11:$S$11,0))</f>
        <v>1.0607521697203472E-2</v>
      </c>
      <c r="G230" s="3">
        <f t="shared" si="25"/>
        <v>0.20154291224686596</v>
      </c>
      <c r="H230" s="5">
        <f t="shared" si="26"/>
        <v>2.6200578592092576</v>
      </c>
      <c r="I230">
        <f t="shared" si="27"/>
        <v>247</v>
      </c>
    </row>
    <row r="231" spans="1:9" x14ac:dyDescent="0.45">
      <c r="A231">
        <v>20</v>
      </c>
      <c r="B231">
        <v>350</v>
      </c>
      <c r="C231">
        <v>8</v>
      </c>
      <c r="D231">
        <f t="shared" si="23"/>
        <v>350</v>
      </c>
      <c r="E231" t="str">
        <f t="shared" si="24"/>
        <v>20+</v>
      </c>
      <c r="F231" s="1">
        <f>INDEX('App-Click Conversion by Rank'!$K$12:$S$31,MATCH(E231,'App-Click Conversion by Rank'!$J$12:$J$31,0),MATCH(D231,'App-Click Conversion by Rank'!$K$11:$S$11,0))</f>
        <v>4.1279669762641896E-3</v>
      </c>
      <c r="G231" s="3">
        <f t="shared" si="25"/>
        <v>3.3023735810113516E-2</v>
      </c>
      <c r="H231" s="5">
        <f t="shared" si="26"/>
        <v>0.66047471620227038</v>
      </c>
      <c r="I231">
        <f t="shared" si="27"/>
        <v>160</v>
      </c>
    </row>
    <row r="232" spans="1:9" x14ac:dyDescent="0.45">
      <c r="A232">
        <v>35</v>
      </c>
      <c r="B232">
        <v>600</v>
      </c>
      <c r="C232">
        <v>16</v>
      </c>
      <c r="D232" t="str">
        <f t="shared" si="23"/>
        <v>501+</v>
      </c>
      <c r="E232" t="str">
        <f t="shared" si="24"/>
        <v>20+</v>
      </c>
      <c r="F232" s="1">
        <f>INDEX('App-Click Conversion by Rank'!$K$12:$S$31,MATCH(E232,'App-Click Conversion by Rank'!$J$12:$J$31,0),MATCH(D232,'App-Click Conversion by Rank'!$K$11:$S$11,0))</f>
        <v>5.9893958237873931E-3</v>
      </c>
      <c r="G232" s="3">
        <f t="shared" si="25"/>
        <v>9.583033318059829E-2</v>
      </c>
      <c r="H232" s="5">
        <f t="shared" si="26"/>
        <v>3.35406166132094</v>
      </c>
      <c r="I232">
        <f t="shared" si="27"/>
        <v>560</v>
      </c>
    </row>
    <row r="233" spans="1:9" x14ac:dyDescent="0.45">
      <c r="A233">
        <v>41</v>
      </c>
      <c r="B233">
        <v>550</v>
      </c>
      <c r="C233">
        <v>6</v>
      </c>
      <c r="D233" t="str">
        <f t="shared" si="23"/>
        <v>501+</v>
      </c>
      <c r="E233" t="str">
        <f t="shared" si="24"/>
        <v>20+</v>
      </c>
      <c r="F233" s="1">
        <f>INDEX('App-Click Conversion by Rank'!$K$12:$S$31,MATCH(E233,'App-Click Conversion by Rank'!$J$12:$J$31,0),MATCH(D233,'App-Click Conversion by Rank'!$K$11:$S$11,0))</f>
        <v>5.9893958237873931E-3</v>
      </c>
      <c r="G233" s="3">
        <f t="shared" si="25"/>
        <v>3.5936374942724357E-2</v>
      </c>
      <c r="H233" s="5">
        <f t="shared" si="26"/>
        <v>1.4733913726516987</v>
      </c>
      <c r="I233">
        <f t="shared" si="27"/>
        <v>246</v>
      </c>
    </row>
    <row r="234" spans="1:9" x14ac:dyDescent="0.45">
      <c r="A234">
        <v>32</v>
      </c>
      <c r="B234">
        <v>500</v>
      </c>
      <c r="C234">
        <v>69</v>
      </c>
      <c r="D234">
        <f t="shared" si="23"/>
        <v>500</v>
      </c>
      <c r="E234" t="str">
        <f t="shared" si="24"/>
        <v>20+</v>
      </c>
      <c r="F234" s="1">
        <f>INDEX('App-Click Conversion by Rank'!$K$12:$S$31,MATCH(E234,'App-Click Conversion by Rank'!$J$12:$J$31,0),MATCH(D234,'App-Click Conversion by Rank'!$K$11:$S$11,0))</f>
        <v>5.1121544079290558E-3</v>
      </c>
      <c r="G234" s="3">
        <f t="shared" si="25"/>
        <v>0.35273865414710487</v>
      </c>
      <c r="H234" s="5">
        <f t="shared" si="26"/>
        <v>11.287636932707356</v>
      </c>
      <c r="I234">
        <f t="shared" si="27"/>
        <v>2208</v>
      </c>
    </row>
    <row r="235" spans="1:9" x14ac:dyDescent="0.45">
      <c r="A235">
        <v>36</v>
      </c>
      <c r="B235">
        <v>600</v>
      </c>
      <c r="C235">
        <v>15</v>
      </c>
      <c r="D235" t="str">
        <f t="shared" si="23"/>
        <v>501+</v>
      </c>
      <c r="E235" t="str">
        <f t="shared" si="24"/>
        <v>20+</v>
      </c>
      <c r="F235" s="1">
        <f>INDEX('App-Click Conversion by Rank'!$K$12:$S$31,MATCH(E235,'App-Click Conversion by Rank'!$J$12:$J$31,0),MATCH(D235,'App-Click Conversion by Rank'!$K$11:$S$11,0))</f>
        <v>5.9893958237873931E-3</v>
      </c>
      <c r="G235" s="3">
        <f t="shared" si="25"/>
        <v>8.9840937356810896E-2</v>
      </c>
      <c r="H235" s="5">
        <f t="shared" si="26"/>
        <v>3.2342737448451921</v>
      </c>
      <c r="I235">
        <f t="shared" si="27"/>
        <v>540</v>
      </c>
    </row>
    <row r="236" spans="1:9" x14ac:dyDescent="0.45">
      <c r="A236">
        <v>20</v>
      </c>
      <c r="B236">
        <v>600</v>
      </c>
      <c r="C236">
        <v>21</v>
      </c>
      <c r="D236" t="str">
        <f t="shared" si="23"/>
        <v>501+</v>
      </c>
      <c r="E236" t="str">
        <f t="shared" si="24"/>
        <v>20+</v>
      </c>
      <c r="F236" s="1">
        <f>INDEX('App-Click Conversion by Rank'!$K$12:$S$31,MATCH(E236,'App-Click Conversion by Rank'!$J$12:$J$31,0),MATCH(D236,'App-Click Conversion by Rank'!$K$11:$S$11,0))</f>
        <v>5.9893958237873931E-3</v>
      </c>
      <c r="G236" s="3">
        <f t="shared" si="25"/>
        <v>0.12577731229953526</v>
      </c>
      <c r="H236" s="5">
        <f t="shared" si="26"/>
        <v>2.5155462459907052</v>
      </c>
      <c r="I236">
        <f t="shared" si="27"/>
        <v>420</v>
      </c>
    </row>
    <row r="237" spans="1:9" x14ac:dyDescent="0.45">
      <c r="A237">
        <v>9</v>
      </c>
      <c r="B237">
        <v>600</v>
      </c>
      <c r="C237">
        <v>16</v>
      </c>
      <c r="D237" t="str">
        <f t="shared" si="23"/>
        <v>501+</v>
      </c>
      <c r="E237">
        <f t="shared" si="24"/>
        <v>9</v>
      </c>
      <c r="F237" s="1">
        <f>INDEX('App-Click Conversion by Rank'!$K$12:$S$31,MATCH(E237,'App-Click Conversion by Rank'!$J$12:$J$31,0),MATCH(D237,'App-Click Conversion by Rank'!$K$11:$S$11,0))</f>
        <v>6.6039061402276243E-3</v>
      </c>
      <c r="G237" s="3">
        <f t="shared" si="25"/>
        <v>0.10566249824364199</v>
      </c>
      <c r="H237" s="5">
        <f t="shared" si="26"/>
        <v>0.95096248419277796</v>
      </c>
      <c r="I237">
        <f t="shared" si="27"/>
        <v>144</v>
      </c>
    </row>
    <row r="238" spans="1:9" x14ac:dyDescent="0.45">
      <c r="A238">
        <v>12</v>
      </c>
      <c r="B238">
        <v>250</v>
      </c>
      <c r="C238">
        <v>10</v>
      </c>
      <c r="D238">
        <f t="shared" si="23"/>
        <v>250</v>
      </c>
      <c r="E238">
        <f t="shared" si="24"/>
        <v>12</v>
      </c>
      <c r="F238" s="1">
        <f>INDEX('App-Click Conversion by Rank'!$K$12:$S$31,MATCH(E238,'App-Click Conversion by Rank'!$J$12:$J$31,0),MATCH(D238,'App-Click Conversion by Rank'!$K$11:$S$11,0))</f>
        <v>1.3333333333333334E-2</v>
      </c>
      <c r="G238" s="3">
        <f t="shared" si="25"/>
        <v>0.13333333333333333</v>
      </c>
      <c r="H238" s="5">
        <f t="shared" si="26"/>
        <v>1.6</v>
      </c>
      <c r="I238">
        <f t="shared" si="27"/>
        <v>120</v>
      </c>
    </row>
    <row r="239" spans="1:9" x14ac:dyDescent="0.45">
      <c r="A239">
        <v>5</v>
      </c>
      <c r="B239">
        <v>600</v>
      </c>
      <c r="C239">
        <v>6</v>
      </c>
      <c r="D239" t="str">
        <f t="shared" si="23"/>
        <v>501+</v>
      </c>
      <c r="E239">
        <f t="shared" si="24"/>
        <v>5</v>
      </c>
      <c r="F239" s="1">
        <f>INDEX('App-Click Conversion by Rank'!$K$12:$S$31,MATCH(E239,'App-Click Conversion by Rank'!$J$12:$J$31,0),MATCH(D239,'App-Click Conversion by Rank'!$K$11:$S$11,0))</f>
        <v>2.0504113882721692E-2</v>
      </c>
      <c r="G239" s="3">
        <f t="shared" si="25"/>
        <v>0.12302468329633015</v>
      </c>
      <c r="H239" s="5">
        <f t="shared" si="26"/>
        <v>0.61512341648165081</v>
      </c>
      <c r="I239">
        <f t="shared" si="27"/>
        <v>30</v>
      </c>
    </row>
    <row r="240" spans="1:9" x14ac:dyDescent="0.45">
      <c r="A240">
        <v>7</v>
      </c>
      <c r="B240">
        <v>600</v>
      </c>
      <c r="C240">
        <v>7</v>
      </c>
      <c r="D240" t="str">
        <f t="shared" si="23"/>
        <v>501+</v>
      </c>
      <c r="E240">
        <f t="shared" si="24"/>
        <v>7</v>
      </c>
      <c r="F240" s="1">
        <f>INDEX('App-Click Conversion by Rank'!$K$12:$S$31,MATCH(E240,'App-Click Conversion by Rank'!$J$12:$J$31,0),MATCH(D240,'App-Click Conversion by Rank'!$K$11:$S$11,0))</f>
        <v>1.4011208967173739E-2</v>
      </c>
      <c r="G240" s="3">
        <f t="shared" si="25"/>
        <v>9.8078462770216174E-2</v>
      </c>
      <c r="H240" s="5">
        <f t="shared" si="26"/>
        <v>0.68654923939151324</v>
      </c>
      <c r="I240">
        <f t="shared" si="27"/>
        <v>49</v>
      </c>
    </row>
    <row r="241" spans="1:9" x14ac:dyDescent="0.45">
      <c r="A241">
        <v>26</v>
      </c>
      <c r="B241">
        <v>250</v>
      </c>
      <c r="C241">
        <v>1</v>
      </c>
      <c r="D241">
        <f t="shared" si="23"/>
        <v>250</v>
      </c>
      <c r="E241" t="str">
        <f t="shared" si="24"/>
        <v>20+</v>
      </c>
      <c r="F241" s="1">
        <f>INDEX('App-Click Conversion by Rank'!$K$12:$S$31,MATCH(E241,'App-Click Conversion by Rank'!$J$12:$J$31,0),MATCH(D241,'App-Click Conversion by Rank'!$K$11:$S$11,0))</f>
        <v>1.0638297872340425E-2</v>
      </c>
      <c r="G241" s="3">
        <f t="shared" si="25"/>
        <v>1.0638297872340425E-2</v>
      </c>
      <c r="H241" s="5">
        <f t="shared" si="26"/>
        <v>0.27659574468085107</v>
      </c>
      <c r="I241">
        <f t="shared" si="27"/>
        <v>26</v>
      </c>
    </row>
    <row r="242" spans="1:9" x14ac:dyDescent="0.45">
      <c r="A242">
        <v>29</v>
      </c>
      <c r="B242">
        <v>400</v>
      </c>
      <c r="C242">
        <v>2</v>
      </c>
      <c r="D242">
        <f t="shared" si="23"/>
        <v>400</v>
      </c>
      <c r="E242" t="str">
        <f t="shared" si="24"/>
        <v>20+</v>
      </c>
      <c r="F242" s="1">
        <f>INDEX('App-Click Conversion by Rank'!$K$12:$S$31,MATCH(E242,'App-Click Conversion by Rank'!$J$12:$J$31,0),MATCH(D242,'App-Click Conversion by Rank'!$K$11:$S$11,0))</f>
        <v>6.4196625091709463E-3</v>
      </c>
      <c r="G242" s="3">
        <f t="shared" si="25"/>
        <v>1.2839325018341893E-2</v>
      </c>
      <c r="H242" s="5">
        <f t="shared" si="26"/>
        <v>0.37234042553191488</v>
      </c>
      <c r="I242">
        <f t="shared" si="27"/>
        <v>58</v>
      </c>
    </row>
    <row r="243" spans="1:9" x14ac:dyDescent="0.45">
      <c r="A243">
        <v>39</v>
      </c>
      <c r="B243">
        <v>500</v>
      </c>
      <c r="C243">
        <v>2</v>
      </c>
      <c r="D243">
        <f t="shared" si="23"/>
        <v>500</v>
      </c>
      <c r="E243" t="str">
        <f t="shared" si="24"/>
        <v>20+</v>
      </c>
      <c r="F243" s="1">
        <f>INDEX('App-Click Conversion by Rank'!$K$12:$S$31,MATCH(E243,'App-Click Conversion by Rank'!$J$12:$J$31,0),MATCH(D243,'App-Click Conversion by Rank'!$K$11:$S$11,0))</f>
        <v>5.1121544079290558E-3</v>
      </c>
      <c r="G243" s="3">
        <f t="shared" si="25"/>
        <v>1.0224308815858112E-2</v>
      </c>
      <c r="H243" s="5">
        <f t="shared" si="26"/>
        <v>0.39874804381846635</v>
      </c>
      <c r="I243">
        <f t="shared" si="27"/>
        <v>78</v>
      </c>
    </row>
    <row r="244" spans="1:9" x14ac:dyDescent="0.45">
      <c r="A244">
        <v>7</v>
      </c>
      <c r="B244">
        <v>100</v>
      </c>
      <c r="C244">
        <v>1</v>
      </c>
      <c r="D244" t="str">
        <f t="shared" si="23"/>
        <v>&lt;=150</v>
      </c>
      <c r="E244">
        <f t="shared" si="24"/>
        <v>7</v>
      </c>
      <c r="F244" s="1">
        <f>INDEX('App-Click Conversion by Rank'!$K$12:$S$31,MATCH(E244,'App-Click Conversion by Rank'!$J$12:$J$31,0),MATCH(D244,'App-Click Conversion by Rank'!$K$11:$S$11,0))</f>
        <v>2.0202020202020204E-2</v>
      </c>
      <c r="G244" s="3">
        <f t="shared" si="25"/>
        <v>2.0202020202020204E-2</v>
      </c>
      <c r="H244" s="5">
        <f t="shared" si="26"/>
        <v>0.14141414141414144</v>
      </c>
      <c r="I244">
        <f t="shared" si="27"/>
        <v>7</v>
      </c>
    </row>
    <row r="245" spans="1:9" x14ac:dyDescent="0.45">
      <c r="A245">
        <v>4</v>
      </c>
      <c r="B245">
        <v>600</v>
      </c>
      <c r="C245">
        <v>2</v>
      </c>
      <c r="D245" t="str">
        <f t="shared" si="23"/>
        <v>501+</v>
      </c>
      <c r="E245">
        <f t="shared" si="24"/>
        <v>4</v>
      </c>
      <c r="F245" s="1">
        <f>INDEX('App-Click Conversion by Rank'!$K$12:$S$31,MATCH(E245,'App-Click Conversion by Rank'!$J$12:$J$31,0),MATCH(D245,'App-Click Conversion by Rank'!$K$11:$S$11,0))</f>
        <v>3.6664084688871675E-2</v>
      </c>
      <c r="G245" s="3">
        <f t="shared" si="25"/>
        <v>7.3328169377743349E-2</v>
      </c>
      <c r="H245" s="5">
        <f t="shared" si="26"/>
        <v>0.2933126775109734</v>
      </c>
      <c r="I245">
        <f t="shared" si="27"/>
        <v>8</v>
      </c>
    </row>
    <row r="246" spans="1:9" x14ac:dyDescent="0.45">
      <c r="A246">
        <v>37</v>
      </c>
      <c r="B246">
        <v>650</v>
      </c>
      <c r="C246">
        <v>1</v>
      </c>
      <c r="D246" t="str">
        <f t="shared" ref="D246:D295" si="28">IF(B246&lt;=150,"&lt;=150",IF(B246&gt;500,"501+",B246))</f>
        <v>501+</v>
      </c>
      <c r="E246" t="str">
        <f t="shared" ref="E246:E295" si="29">IF(A246&gt;=20,"20+",A246)</f>
        <v>20+</v>
      </c>
      <c r="F246" s="1">
        <f>INDEX('App-Click Conversion by Rank'!$K$12:$S$31,MATCH(E246,'App-Click Conversion by Rank'!$J$12:$J$31,0),MATCH(D246,'App-Click Conversion by Rank'!$K$11:$S$11,0))</f>
        <v>5.9893958237873931E-3</v>
      </c>
      <c r="G246" s="3">
        <f t="shared" ref="G246:G295" si="30">C246*F246</f>
        <v>5.9893958237873931E-3</v>
      </c>
      <c r="H246" s="5">
        <f t="shared" ref="H246:H295" si="31">G246*A246</f>
        <v>0.22160764548013354</v>
      </c>
      <c r="I246">
        <f t="shared" ref="I246:I295" si="32">C246*A246</f>
        <v>37</v>
      </c>
    </row>
    <row r="247" spans="1:9" x14ac:dyDescent="0.45">
      <c r="A247">
        <v>38</v>
      </c>
      <c r="B247">
        <v>350</v>
      </c>
      <c r="C247">
        <v>1</v>
      </c>
      <c r="D247">
        <f t="shared" si="28"/>
        <v>350</v>
      </c>
      <c r="E247" t="str">
        <f t="shared" si="29"/>
        <v>20+</v>
      </c>
      <c r="F247" s="1">
        <f>INDEX('App-Click Conversion by Rank'!$K$12:$S$31,MATCH(E247,'App-Click Conversion by Rank'!$J$12:$J$31,0),MATCH(D247,'App-Click Conversion by Rank'!$K$11:$S$11,0))</f>
        <v>4.1279669762641896E-3</v>
      </c>
      <c r="G247" s="3">
        <f t="shared" si="30"/>
        <v>4.1279669762641896E-3</v>
      </c>
      <c r="H247" s="5">
        <f t="shared" si="31"/>
        <v>0.15686274509803921</v>
      </c>
      <c r="I247">
        <f t="shared" si="32"/>
        <v>38</v>
      </c>
    </row>
    <row r="248" spans="1:9" x14ac:dyDescent="0.45">
      <c r="A248">
        <v>4</v>
      </c>
      <c r="B248">
        <v>650</v>
      </c>
      <c r="C248">
        <v>1</v>
      </c>
      <c r="D248" t="str">
        <f t="shared" si="28"/>
        <v>501+</v>
      </c>
      <c r="E248">
        <f t="shared" si="29"/>
        <v>4</v>
      </c>
      <c r="F248" s="1">
        <f>INDEX('App-Click Conversion by Rank'!$K$12:$S$31,MATCH(E248,'App-Click Conversion by Rank'!$J$12:$J$31,0),MATCH(D248,'App-Click Conversion by Rank'!$K$11:$S$11,0))</f>
        <v>3.6664084688871675E-2</v>
      </c>
      <c r="G248" s="3">
        <f t="shared" si="30"/>
        <v>3.6664084688871675E-2</v>
      </c>
      <c r="H248" s="5">
        <f t="shared" si="31"/>
        <v>0.1466563387554867</v>
      </c>
      <c r="I248">
        <f t="shared" si="32"/>
        <v>4</v>
      </c>
    </row>
    <row r="249" spans="1:9" x14ac:dyDescent="0.45">
      <c r="A249">
        <v>29</v>
      </c>
      <c r="B249">
        <v>450</v>
      </c>
      <c r="C249">
        <v>19</v>
      </c>
      <c r="D249">
        <f t="shared" si="28"/>
        <v>450</v>
      </c>
      <c r="E249" t="str">
        <f t="shared" si="29"/>
        <v>20+</v>
      </c>
      <c r="F249" s="1">
        <f>INDEX('App-Click Conversion by Rank'!$K$12:$S$31,MATCH(E249,'App-Click Conversion by Rank'!$J$12:$J$31,0),MATCH(D249,'App-Click Conversion by Rank'!$K$11:$S$11,0))</f>
        <v>5.6022408963585435E-3</v>
      </c>
      <c r="G249" s="3">
        <f t="shared" si="30"/>
        <v>0.10644257703081232</v>
      </c>
      <c r="H249" s="5">
        <f t="shared" si="31"/>
        <v>3.0868347338935571</v>
      </c>
      <c r="I249">
        <f t="shared" si="32"/>
        <v>551</v>
      </c>
    </row>
    <row r="250" spans="1:9" x14ac:dyDescent="0.45">
      <c r="A250">
        <v>19</v>
      </c>
      <c r="B250">
        <v>500</v>
      </c>
      <c r="C250">
        <v>294</v>
      </c>
      <c r="D250">
        <f t="shared" si="28"/>
        <v>500</v>
      </c>
      <c r="E250">
        <f t="shared" si="29"/>
        <v>19</v>
      </c>
      <c r="F250" s="1">
        <f>INDEX('App-Click Conversion by Rank'!$K$12:$S$31,MATCH(E250,'App-Click Conversion by Rank'!$J$12:$J$31,0),MATCH(D250,'App-Click Conversion by Rank'!$K$11:$S$11,0))</f>
        <v>3.4848724853476952E-3</v>
      </c>
      <c r="G250" s="3">
        <f t="shared" si="30"/>
        <v>1.0245525106922224</v>
      </c>
      <c r="H250" s="5">
        <f t="shared" si="31"/>
        <v>19.466497703152225</v>
      </c>
      <c r="I250">
        <f t="shared" si="32"/>
        <v>5586</v>
      </c>
    </row>
    <row r="251" spans="1:9" x14ac:dyDescent="0.45">
      <c r="A251">
        <v>2</v>
      </c>
      <c r="B251">
        <v>400</v>
      </c>
      <c r="C251">
        <v>105</v>
      </c>
      <c r="D251">
        <f t="shared" si="28"/>
        <v>400</v>
      </c>
      <c r="E251">
        <f t="shared" si="29"/>
        <v>2</v>
      </c>
      <c r="F251" s="1">
        <f>INDEX('App-Click Conversion by Rank'!$K$12:$S$31,MATCH(E251,'App-Click Conversion by Rank'!$J$12:$J$31,0),MATCH(D251,'App-Click Conversion by Rank'!$K$11:$S$11,0))</f>
        <v>8.940352766931467E-2</v>
      </c>
      <c r="G251" s="3">
        <f t="shared" si="30"/>
        <v>9.3873704052780411</v>
      </c>
      <c r="H251" s="5">
        <f t="shared" si="31"/>
        <v>18.774740810556082</v>
      </c>
      <c r="I251">
        <f t="shared" si="32"/>
        <v>210</v>
      </c>
    </row>
    <row r="252" spans="1:9" x14ac:dyDescent="0.45">
      <c r="A252">
        <v>19</v>
      </c>
      <c r="B252">
        <v>550</v>
      </c>
      <c r="C252">
        <v>215</v>
      </c>
      <c r="D252" t="str">
        <f t="shared" si="28"/>
        <v>501+</v>
      </c>
      <c r="E252">
        <f t="shared" si="29"/>
        <v>19</v>
      </c>
      <c r="F252" s="1">
        <f>INDEX('App-Click Conversion by Rank'!$K$12:$S$31,MATCH(E252,'App-Click Conversion by Rank'!$J$12:$J$31,0),MATCH(D252,'App-Click Conversion by Rank'!$K$11:$S$11,0))</f>
        <v>2.8030833917309038E-3</v>
      </c>
      <c r="G252" s="3">
        <f t="shared" si="30"/>
        <v>0.60266292922214437</v>
      </c>
      <c r="H252" s="5">
        <f t="shared" si="31"/>
        <v>11.450595655220743</v>
      </c>
      <c r="I252">
        <f t="shared" si="32"/>
        <v>4085</v>
      </c>
    </row>
    <row r="253" spans="1:9" x14ac:dyDescent="0.45">
      <c r="A253">
        <v>4</v>
      </c>
      <c r="B253">
        <v>400</v>
      </c>
      <c r="C253">
        <v>274</v>
      </c>
      <c r="D253">
        <f t="shared" si="28"/>
        <v>400</v>
      </c>
      <c r="E253">
        <f t="shared" si="29"/>
        <v>4</v>
      </c>
      <c r="F253" s="1">
        <f>INDEX('App-Click Conversion by Rank'!$K$12:$S$31,MATCH(E253,'App-Click Conversion by Rank'!$J$12:$J$31,0),MATCH(D253,'App-Click Conversion by Rank'!$K$11:$S$11,0))</f>
        <v>4.4208524797971792E-2</v>
      </c>
      <c r="G253" s="3">
        <f t="shared" si="30"/>
        <v>12.11313579464427</v>
      </c>
      <c r="H253" s="5">
        <f t="shared" si="31"/>
        <v>48.452543178577081</v>
      </c>
      <c r="I253">
        <f t="shared" si="32"/>
        <v>1096</v>
      </c>
    </row>
    <row r="254" spans="1:9" x14ac:dyDescent="0.45">
      <c r="A254">
        <v>12</v>
      </c>
      <c r="B254">
        <v>500</v>
      </c>
      <c r="C254">
        <v>662</v>
      </c>
      <c r="D254">
        <f t="shared" si="28"/>
        <v>500</v>
      </c>
      <c r="E254">
        <f t="shared" si="29"/>
        <v>12</v>
      </c>
      <c r="F254" s="1">
        <f>INDEX('App-Click Conversion by Rank'!$K$12:$S$31,MATCH(E254,'App-Click Conversion by Rank'!$J$12:$J$31,0),MATCH(D254,'App-Click Conversion by Rank'!$K$11:$S$11,0))</f>
        <v>3.7671649046056629E-3</v>
      </c>
      <c r="G254" s="3">
        <f t="shared" si="30"/>
        <v>2.493863166848949</v>
      </c>
      <c r="H254" s="5">
        <f t="shared" si="31"/>
        <v>29.926358002187389</v>
      </c>
      <c r="I254">
        <f t="shared" si="32"/>
        <v>7944</v>
      </c>
    </row>
    <row r="255" spans="1:9" x14ac:dyDescent="0.45">
      <c r="A255">
        <v>6</v>
      </c>
      <c r="B255">
        <v>400</v>
      </c>
      <c r="C255">
        <v>236</v>
      </c>
      <c r="D255">
        <f t="shared" si="28"/>
        <v>400</v>
      </c>
      <c r="E255">
        <f t="shared" si="29"/>
        <v>6</v>
      </c>
      <c r="F255" s="1">
        <f>INDEX('App-Click Conversion by Rank'!$K$12:$S$31,MATCH(E255,'App-Click Conversion by Rank'!$J$12:$J$31,0),MATCH(D255,'App-Click Conversion by Rank'!$K$11:$S$11,0))</f>
        <v>2.3052741879147746E-2</v>
      </c>
      <c r="G255" s="3">
        <f t="shared" si="30"/>
        <v>5.4404470834788681</v>
      </c>
      <c r="H255" s="5">
        <f t="shared" si="31"/>
        <v>32.642682500873207</v>
      </c>
      <c r="I255">
        <f t="shared" si="32"/>
        <v>1416</v>
      </c>
    </row>
    <row r="256" spans="1:9" x14ac:dyDescent="0.45">
      <c r="A256">
        <v>7</v>
      </c>
      <c r="B256">
        <v>400</v>
      </c>
      <c r="C256">
        <v>281</v>
      </c>
      <c r="D256">
        <f t="shared" si="28"/>
        <v>400</v>
      </c>
      <c r="E256">
        <f t="shared" si="29"/>
        <v>7</v>
      </c>
      <c r="F256" s="1">
        <f>INDEX('App-Click Conversion by Rank'!$K$12:$S$31,MATCH(E256,'App-Click Conversion by Rank'!$J$12:$J$31,0),MATCH(D256,'App-Click Conversion by Rank'!$K$11:$S$11,0))</f>
        <v>1.7432358816052297E-2</v>
      </c>
      <c r="G256" s="3">
        <f t="shared" si="30"/>
        <v>4.8984928273106956</v>
      </c>
      <c r="H256" s="5">
        <f t="shared" si="31"/>
        <v>34.289449791174867</v>
      </c>
      <c r="I256">
        <f t="shared" si="32"/>
        <v>1967</v>
      </c>
    </row>
    <row r="257" spans="1:9" x14ac:dyDescent="0.45">
      <c r="A257">
        <v>29</v>
      </c>
      <c r="B257">
        <v>550</v>
      </c>
      <c r="C257">
        <v>169</v>
      </c>
      <c r="D257" t="str">
        <f t="shared" si="28"/>
        <v>501+</v>
      </c>
      <c r="E257" t="str">
        <f t="shared" si="29"/>
        <v>20+</v>
      </c>
      <c r="F257" s="1">
        <f>INDEX('App-Click Conversion by Rank'!$K$12:$S$31,MATCH(E257,'App-Click Conversion by Rank'!$J$12:$J$31,0),MATCH(D257,'App-Click Conversion by Rank'!$K$11:$S$11,0))</f>
        <v>5.9893958237873931E-3</v>
      </c>
      <c r="G257" s="3">
        <f t="shared" si="30"/>
        <v>1.0122078942200694</v>
      </c>
      <c r="H257" s="5">
        <f t="shared" si="31"/>
        <v>29.354028932382011</v>
      </c>
      <c r="I257">
        <f t="shared" si="32"/>
        <v>4901</v>
      </c>
    </row>
    <row r="258" spans="1:9" x14ac:dyDescent="0.45">
      <c r="A258">
        <v>8</v>
      </c>
      <c r="B258">
        <v>300</v>
      </c>
      <c r="C258">
        <v>104</v>
      </c>
      <c r="D258">
        <f t="shared" si="28"/>
        <v>300</v>
      </c>
      <c r="E258">
        <f t="shared" si="29"/>
        <v>8</v>
      </c>
      <c r="F258" s="1">
        <f>INDEX('App-Click Conversion by Rank'!$K$12:$S$31,MATCH(E258,'App-Click Conversion by Rank'!$J$12:$J$31,0),MATCH(D258,'App-Click Conversion by Rank'!$K$11:$S$11,0))</f>
        <v>2.3454157782515993E-2</v>
      </c>
      <c r="G258" s="3">
        <f t="shared" si="30"/>
        <v>2.4392324093816633</v>
      </c>
      <c r="H258" s="5">
        <f t="shared" si="31"/>
        <v>19.513859275053306</v>
      </c>
      <c r="I258">
        <f t="shared" si="32"/>
        <v>832</v>
      </c>
    </row>
    <row r="259" spans="1:9" x14ac:dyDescent="0.45">
      <c r="A259">
        <v>12</v>
      </c>
      <c r="B259">
        <v>550</v>
      </c>
      <c r="C259">
        <v>243</v>
      </c>
      <c r="D259" t="str">
        <f t="shared" si="28"/>
        <v>501+</v>
      </c>
      <c r="E259">
        <f t="shared" si="29"/>
        <v>12</v>
      </c>
      <c r="F259" s="1">
        <f>INDEX('App-Click Conversion by Rank'!$K$12:$S$31,MATCH(E259,'App-Click Conversion by Rank'!$J$12:$J$31,0),MATCH(D259,'App-Click Conversion by Rank'!$K$11:$S$11,0))</f>
        <v>4.3071439180157435E-3</v>
      </c>
      <c r="G259" s="3">
        <f t="shared" si="30"/>
        <v>1.0466359720778258</v>
      </c>
      <c r="H259" s="5">
        <f t="shared" si="31"/>
        <v>12.55963166493391</v>
      </c>
      <c r="I259">
        <f t="shared" si="32"/>
        <v>2916</v>
      </c>
    </row>
    <row r="260" spans="1:9" x14ac:dyDescent="0.45">
      <c r="A260">
        <v>13</v>
      </c>
      <c r="B260">
        <v>450</v>
      </c>
      <c r="C260">
        <v>325</v>
      </c>
      <c r="D260">
        <f t="shared" si="28"/>
        <v>450</v>
      </c>
      <c r="E260">
        <f t="shared" si="29"/>
        <v>13</v>
      </c>
      <c r="F260" s="1">
        <f>INDEX('App-Click Conversion by Rank'!$K$12:$S$31,MATCH(E260,'App-Click Conversion by Rank'!$J$12:$J$31,0),MATCH(D260,'App-Click Conversion by Rank'!$K$11:$S$11,0))</f>
        <v>3.8468583989741713E-3</v>
      </c>
      <c r="G260" s="3">
        <f t="shared" si="30"/>
        <v>1.2502289796666057</v>
      </c>
      <c r="H260" s="5">
        <f t="shared" si="31"/>
        <v>16.252976735665875</v>
      </c>
      <c r="I260">
        <f t="shared" si="32"/>
        <v>4225</v>
      </c>
    </row>
    <row r="261" spans="1:9" x14ac:dyDescent="0.45">
      <c r="A261">
        <v>9</v>
      </c>
      <c r="B261">
        <v>400</v>
      </c>
      <c r="C261">
        <v>223</v>
      </c>
      <c r="D261">
        <f t="shared" si="28"/>
        <v>400</v>
      </c>
      <c r="E261">
        <f t="shared" si="29"/>
        <v>9</v>
      </c>
      <c r="F261" s="1">
        <f>INDEX('App-Click Conversion by Rank'!$K$12:$S$31,MATCH(E261,'App-Click Conversion by Rank'!$J$12:$J$31,0),MATCH(D261,'App-Click Conversion by Rank'!$K$11:$S$11,0))</f>
        <v>1.1405207660856467E-2</v>
      </c>
      <c r="G261" s="3">
        <f t="shared" si="30"/>
        <v>2.5433613083709923</v>
      </c>
      <c r="H261" s="5">
        <f t="shared" si="31"/>
        <v>22.890251775338932</v>
      </c>
      <c r="I261">
        <f t="shared" si="32"/>
        <v>2007</v>
      </c>
    </row>
    <row r="262" spans="1:9" x14ac:dyDescent="0.45">
      <c r="A262">
        <v>3</v>
      </c>
      <c r="B262">
        <v>600</v>
      </c>
      <c r="C262">
        <v>4</v>
      </c>
      <c r="D262" t="str">
        <f t="shared" si="28"/>
        <v>501+</v>
      </c>
      <c r="E262">
        <f t="shared" si="29"/>
        <v>3</v>
      </c>
      <c r="F262" s="1">
        <f>INDEX('App-Click Conversion by Rank'!$K$12:$S$31,MATCH(E262,'App-Click Conversion by Rank'!$J$12:$J$31,0),MATCH(D262,'App-Click Conversion by Rank'!$K$11:$S$11,0))</f>
        <v>4.4627885979620793E-2</v>
      </c>
      <c r="G262" s="3">
        <f t="shared" si="30"/>
        <v>0.17851154391848317</v>
      </c>
      <c r="H262" s="5">
        <f t="shared" si="31"/>
        <v>0.53553463175544946</v>
      </c>
      <c r="I262">
        <f t="shared" si="32"/>
        <v>12</v>
      </c>
    </row>
    <row r="263" spans="1:9" x14ac:dyDescent="0.45">
      <c r="A263">
        <v>19</v>
      </c>
      <c r="B263">
        <v>450</v>
      </c>
      <c r="C263">
        <v>112</v>
      </c>
      <c r="D263">
        <f t="shared" si="28"/>
        <v>450</v>
      </c>
      <c r="E263">
        <f t="shared" si="29"/>
        <v>19</v>
      </c>
      <c r="F263" s="1">
        <f>INDEX('App-Click Conversion by Rank'!$K$12:$S$31,MATCH(E263,'App-Click Conversion by Rank'!$J$12:$J$31,0),MATCH(D263,'App-Click Conversion by Rank'!$K$11:$S$11,0))</f>
        <v>2.8593709383935534E-3</v>
      </c>
      <c r="G263" s="3">
        <f t="shared" si="30"/>
        <v>0.32024954510007797</v>
      </c>
      <c r="H263" s="5">
        <f t="shared" si="31"/>
        <v>6.0847413569014819</v>
      </c>
      <c r="I263">
        <f t="shared" si="32"/>
        <v>2128</v>
      </c>
    </row>
    <row r="264" spans="1:9" x14ac:dyDescent="0.45">
      <c r="A264">
        <v>18</v>
      </c>
      <c r="B264">
        <v>550</v>
      </c>
      <c r="C264">
        <v>203</v>
      </c>
      <c r="D264" t="str">
        <f t="shared" si="28"/>
        <v>501+</v>
      </c>
      <c r="E264">
        <f t="shared" si="29"/>
        <v>18</v>
      </c>
      <c r="F264" s="1">
        <f>INDEX('App-Click Conversion by Rank'!$K$12:$S$31,MATCH(E264,'App-Click Conversion by Rank'!$J$12:$J$31,0),MATCH(D264,'App-Click Conversion by Rank'!$K$11:$S$11,0))</f>
        <v>2.0408163265306124E-3</v>
      </c>
      <c r="G264" s="3">
        <f t="shared" si="30"/>
        <v>0.41428571428571431</v>
      </c>
      <c r="H264" s="5">
        <f t="shared" si="31"/>
        <v>7.4571428571428573</v>
      </c>
      <c r="I264">
        <f t="shared" si="32"/>
        <v>3654</v>
      </c>
    </row>
    <row r="265" spans="1:9" x14ac:dyDescent="0.45">
      <c r="A265">
        <v>25</v>
      </c>
      <c r="B265">
        <v>350</v>
      </c>
      <c r="C265">
        <v>7</v>
      </c>
      <c r="D265">
        <f t="shared" si="28"/>
        <v>350</v>
      </c>
      <c r="E265" t="str">
        <f t="shared" si="29"/>
        <v>20+</v>
      </c>
      <c r="F265" s="1">
        <f>INDEX('App-Click Conversion by Rank'!$K$12:$S$31,MATCH(E265,'App-Click Conversion by Rank'!$J$12:$J$31,0),MATCH(D265,'App-Click Conversion by Rank'!$K$11:$S$11,0))</f>
        <v>4.1279669762641896E-3</v>
      </c>
      <c r="G265" s="3">
        <f t="shared" si="30"/>
        <v>2.8895768833849325E-2</v>
      </c>
      <c r="H265" s="5">
        <f t="shared" si="31"/>
        <v>0.72239422084623317</v>
      </c>
      <c r="I265">
        <f t="shared" si="32"/>
        <v>175</v>
      </c>
    </row>
    <row r="266" spans="1:9" x14ac:dyDescent="0.45">
      <c r="A266">
        <v>3</v>
      </c>
      <c r="B266">
        <v>150</v>
      </c>
      <c r="C266">
        <v>7</v>
      </c>
      <c r="D266" t="str">
        <f t="shared" si="28"/>
        <v>&lt;=150</v>
      </c>
      <c r="E266">
        <f t="shared" si="29"/>
        <v>3</v>
      </c>
      <c r="F266" s="1">
        <f>INDEX('App-Click Conversion by Rank'!$K$12:$S$31,MATCH(E266,'App-Click Conversion by Rank'!$J$12:$J$31,0),MATCH(D266,'App-Click Conversion by Rank'!$K$11:$S$11,0))</f>
        <v>9.8360655737704916E-2</v>
      </c>
      <c r="G266" s="3">
        <f t="shared" si="30"/>
        <v>0.68852459016393441</v>
      </c>
      <c r="H266" s="5">
        <f t="shared" si="31"/>
        <v>2.0655737704918034</v>
      </c>
      <c r="I266">
        <f t="shared" si="32"/>
        <v>21</v>
      </c>
    </row>
    <row r="267" spans="1:9" x14ac:dyDescent="0.45">
      <c r="A267">
        <v>10</v>
      </c>
      <c r="B267">
        <v>600</v>
      </c>
      <c r="C267">
        <v>16</v>
      </c>
      <c r="D267" t="str">
        <f t="shared" si="28"/>
        <v>501+</v>
      </c>
      <c r="E267">
        <f t="shared" si="29"/>
        <v>10</v>
      </c>
      <c r="F267" s="1">
        <f>INDEX('App-Click Conversion by Rank'!$K$12:$S$31,MATCH(E267,'App-Click Conversion by Rank'!$J$12:$J$31,0),MATCH(D267,'App-Click Conversion by Rank'!$K$11:$S$11,0))</f>
        <v>7.1592210767468497E-3</v>
      </c>
      <c r="G267" s="3">
        <f t="shared" si="30"/>
        <v>0.11454753722794959</v>
      </c>
      <c r="H267" s="5">
        <f t="shared" si="31"/>
        <v>1.1454753722794959</v>
      </c>
      <c r="I267">
        <f t="shared" si="32"/>
        <v>160</v>
      </c>
    </row>
    <row r="268" spans="1:9" x14ac:dyDescent="0.45">
      <c r="A268">
        <v>35</v>
      </c>
      <c r="B268">
        <v>400</v>
      </c>
      <c r="C268">
        <v>1</v>
      </c>
      <c r="D268">
        <f t="shared" si="28"/>
        <v>400</v>
      </c>
      <c r="E268" t="str">
        <f t="shared" si="29"/>
        <v>20+</v>
      </c>
      <c r="F268" s="1">
        <f>INDEX('App-Click Conversion by Rank'!$K$12:$S$31,MATCH(E268,'App-Click Conversion by Rank'!$J$12:$J$31,0),MATCH(D268,'App-Click Conversion by Rank'!$K$11:$S$11,0))</f>
        <v>6.4196625091709463E-3</v>
      </c>
      <c r="G268" s="3">
        <f t="shared" si="30"/>
        <v>6.4196625091709463E-3</v>
      </c>
      <c r="H268" s="5">
        <f t="shared" si="31"/>
        <v>0.22468818782098313</v>
      </c>
      <c r="I268">
        <f t="shared" si="32"/>
        <v>35</v>
      </c>
    </row>
    <row r="269" spans="1:9" x14ac:dyDescent="0.45">
      <c r="A269">
        <v>10</v>
      </c>
      <c r="B269">
        <v>150</v>
      </c>
      <c r="C269">
        <v>2</v>
      </c>
      <c r="D269" t="str">
        <f t="shared" si="28"/>
        <v>&lt;=150</v>
      </c>
      <c r="E269">
        <f t="shared" si="29"/>
        <v>10</v>
      </c>
      <c r="F269" s="1">
        <f>INDEX('App-Click Conversion by Rank'!$K$12:$S$31,MATCH(E269,'App-Click Conversion by Rank'!$J$12:$J$31,0),MATCH(D269,'App-Click Conversion by Rank'!$K$11:$S$11,0))</f>
        <v>1.3333333333333334E-2</v>
      </c>
      <c r="G269" s="3">
        <f t="shared" si="30"/>
        <v>2.6666666666666668E-2</v>
      </c>
      <c r="H269" s="5">
        <f t="shared" si="31"/>
        <v>0.26666666666666666</v>
      </c>
      <c r="I269">
        <f t="shared" si="32"/>
        <v>20</v>
      </c>
    </row>
    <row r="270" spans="1:9" x14ac:dyDescent="0.45">
      <c r="A270">
        <v>16</v>
      </c>
      <c r="B270">
        <v>700</v>
      </c>
      <c r="C270">
        <v>1</v>
      </c>
      <c r="D270" t="str">
        <f t="shared" si="28"/>
        <v>501+</v>
      </c>
      <c r="E270">
        <f t="shared" si="29"/>
        <v>16</v>
      </c>
      <c r="F270" s="1">
        <f>INDEX('App-Click Conversion by Rank'!$K$12:$S$31,MATCH(E270,'App-Click Conversion by Rank'!$J$12:$J$31,0),MATCH(D270,'App-Click Conversion by Rank'!$K$11:$S$11,0))</f>
        <v>3.5842293906810036E-3</v>
      </c>
      <c r="G270" s="3">
        <f t="shared" si="30"/>
        <v>3.5842293906810036E-3</v>
      </c>
      <c r="H270" s="5">
        <f t="shared" si="31"/>
        <v>5.7347670250896057E-2</v>
      </c>
      <c r="I270">
        <f t="shared" si="32"/>
        <v>16</v>
      </c>
    </row>
    <row r="271" spans="1:9" x14ac:dyDescent="0.45">
      <c r="A271">
        <v>22</v>
      </c>
      <c r="B271">
        <v>300</v>
      </c>
      <c r="C271">
        <v>2</v>
      </c>
      <c r="D271">
        <f t="shared" si="28"/>
        <v>300</v>
      </c>
      <c r="E271" t="str">
        <f t="shared" si="29"/>
        <v>20+</v>
      </c>
      <c r="F271" s="1">
        <f>INDEX('App-Click Conversion by Rank'!$K$12:$S$31,MATCH(E271,'App-Click Conversion by Rank'!$J$12:$J$31,0),MATCH(D271,'App-Click Conversion by Rank'!$K$11:$S$11,0))</f>
        <v>4.5385779122541605E-3</v>
      </c>
      <c r="G271" s="3">
        <f t="shared" si="30"/>
        <v>9.0771558245083209E-3</v>
      </c>
      <c r="H271" s="5">
        <f t="shared" si="31"/>
        <v>0.19969742813918306</v>
      </c>
      <c r="I271">
        <f t="shared" si="32"/>
        <v>44</v>
      </c>
    </row>
    <row r="272" spans="1:9" x14ac:dyDescent="0.45">
      <c r="A272">
        <v>40</v>
      </c>
      <c r="B272">
        <v>650</v>
      </c>
      <c r="C272">
        <v>1</v>
      </c>
      <c r="D272" t="str">
        <f t="shared" si="28"/>
        <v>501+</v>
      </c>
      <c r="E272" t="str">
        <f t="shared" si="29"/>
        <v>20+</v>
      </c>
      <c r="F272" s="1">
        <f>INDEX('App-Click Conversion by Rank'!$K$12:$S$31,MATCH(E272,'App-Click Conversion by Rank'!$J$12:$J$31,0),MATCH(D272,'App-Click Conversion by Rank'!$K$11:$S$11,0))</f>
        <v>5.9893958237873931E-3</v>
      </c>
      <c r="G272" s="3">
        <f t="shared" si="30"/>
        <v>5.9893958237873931E-3</v>
      </c>
      <c r="H272" s="5">
        <f t="shared" si="31"/>
        <v>0.23957583295149573</v>
      </c>
      <c r="I272">
        <f t="shared" si="32"/>
        <v>40</v>
      </c>
    </row>
    <row r="273" spans="1:9" x14ac:dyDescent="0.45">
      <c r="A273">
        <v>40</v>
      </c>
      <c r="B273">
        <v>600</v>
      </c>
      <c r="C273">
        <v>1</v>
      </c>
      <c r="D273" t="str">
        <f t="shared" si="28"/>
        <v>501+</v>
      </c>
      <c r="E273" t="str">
        <f t="shared" si="29"/>
        <v>20+</v>
      </c>
      <c r="F273" s="1">
        <f>INDEX('App-Click Conversion by Rank'!$K$12:$S$31,MATCH(E273,'App-Click Conversion by Rank'!$J$12:$J$31,0),MATCH(D273,'App-Click Conversion by Rank'!$K$11:$S$11,0))</f>
        <v>5.9893958237873931E-3</v>
      </c>
      <c r="G273" s="3">
        <f t="shared" si="30"/>
        <v>5.9893958237873931E-3</v>
      </c>
      <c r="H273" s="5">
        <f t="shared" si="31"/>
        <v>0.23957583295149573</v>
      </c>
      <c r="I273">
        <f t="shared" si="32"/>
        <v>40</v>
      </c>
    </row>
    <row r="274" spans="1:9" x14ac:dyDescent="0.45">
      <c r="A274">
        <v>22</v>
      </c>
      <c r="B274">
        <v>550</v>
      </c>
      <c r="C274">
        <v>177</v>
      </c>
      <c r="D274" t="str">
        <f t="shared" si="28"/>
        <v>501+</v>
      </c>
      <c r="E274" t="str">
        <f t="shared" si="29"/>
        <v>20+</v>
      </c>
      <c r="F274" s="1">
        <f>INDEX('App-Click Conversion by Rank'!$K$12:$S$31,MATCH(E274,'App-Click Conversion by Rank'!$J$12:$J$31,0),MATCH(D274,'App-Click Conversion by Rank'!$K$11:$S$11,0))</f>
        <v>5.9893958237873931E-3</v>
      </c>
      <c r="G274" s="3">
        <f t="shared" si="30"/>
        <v>1.0601230608103687</v>
      </c>
      <c r="H274" s="5">
        <f t="shared" si="31"/>
        <v>23.32270733782811</v>
      </c>
      <c r="I274">
        <f t="shared" si="32"/>
        <v>3894</v>
      </c>
    </row>
    <row r="275" spans="1:9" x14ac:dyDescent="0.45">
      <c r="A275">
        <v>36</v>
      </c>
      <c r="B275">
        <v>500</v>
      </c>
      <c r="C275">
        <v>16</v>
      </c>
      <c r="D275">
        <f t="shared" si="28"/>
        <v>500</v>
      </c>
      <c r="E275" t="str">
        <f t="shared" si="29"/>
        <v>20+</v>
      </c>
      <c r="F275" s="1">
        <f>INDEX('App-Click Conversion by Rank'!$K$12:$S$31,MATCH(E275,'App-Click Conversion by Rank'!$J$12:$J$31,0),MATCH(D275,'App-Click Conversion by Rank'!$K$11:$S$11,0))</f>
        <v>5.1121544079290558E-3</v>
      </c>
      <c r="G275" s="3">
        <f t="shared" si="30"/>
        <v>8.1794470526864893E-2</v>
      </c>
      <c r="H275" s="5">
        <f t="shared" si="31"/>
        <v>2.9446009389671364</v>
      </c>
      <c r="I275">
        <f t="shared" si="32"/>
        <v>576</v>
      </c>
    </row>
    <row r="276" spans="1:9" x14ac:dyDescent="0.45">
      <c r="A276">
        <v>8</v>
      </c>
      <c r="B276">
        <v>450</v>
      </c>
      <c r="C276">
        <v>404</v>
      </c>
      <c r="D276">
        <f t="shared" si="28"/>
        <v>450</v>
      </c>
      <c r="E276">
        <f t="shared" si="29"/>
        <v>8</v>
      </c>
      <c r="F276" s="1">
        <f>INDEX('App-Click Conversion by Rank'!$K$12:$S$31,MATCH(E276,'App-Click Conversion by Rank'!$J$12:$J$31,0),MATCH(D276,'App-Click Conversion by Rank'!$K$11:$S$11,0))</f>
        <v>9.3508605502100554E-3</v>
      </c>
      <c r="G276" s="3">
        <f t="shared" si="30"/>
        <v>3.7777476622848623</v>
      </c>
      <c r="H276" s="5">
        <f t="shared" si="31"/>
        <v>30.221981298278898</v>
      </c>
      <c r="I276">
        <f t="shared" si="32"/>
        <v>3232</v>
      </c>
    </row>
    <row r="277" spans="1:9" x14ac:dyDescent="0.45">
      <c r="A277">
        <v>16</v>
      </c>
      <c r="B277">
        <v>300</v>
      </c>
      <c r="C277">
        <v>11</v>
      </c>
      <c r="D277">
        <f t="shared" si="28"/>
        <v>300</v>
      </c>
      <c r="E277">
        <f t="shared" si="29"/>
        <v>16</v>
      </c>
      <c r="F277" s="1">
        <f>INDEX('App-Click Conversion by Rank'!$K$12:$S$31,MATCH(E277,'App-Click Conversion by Rank'!$J$12:$J$31,0),MATCH(D277,'App-Click Conversion by Rank'!$K$11:$S$11,0))</f>
        <v>1.3412816691505217E-2</v>
      </c>
      <c r="G277" s="3">
        <f t="shared" si="30"/>
        <v>0.14754098360655737</v>
      </c>
      <c r="H277" s="5">
        <f t="shared" si="31"/>
        <v>2.360655737704918</v>
      </c>
      <c r="I277">
        <f t="shared" si="32"/>
        <v>176</v>
      </c>
    </row>
    <row r="278" spans="1:9" x14ac:dyDescent="0.45">
      <c r="A278">
        <v>23</v>
      </c>
      <c r="B278">
        <v>550</v>
      </c>
      <c r="C278">
        <v>181</v>
      </c>
      <c r="D278" t="str">
        <f t="shared" si="28"/>
        <v>501+</v>
      </c>
      <c r="E278" t="str">
        <f t="shared" si="29"/>
        <v>20+</v>
      </c>
      <c r="F278" s="1">
        <f>INDEX('App-Click Conversion by Rank'!$K$12:$S$31,MATCH(E278,'App-Click Conversion by Rank'!$J$12:$J$31,0),MATCH(D278,'App-Click Conversion by Rank'!$K$11:$S$11,0))</f>
        <v>5.9893958237873931E-3</v>
      </c>
      <c r="G278" s="3">
        <f t="shared" si="30"/>
        <v>1.0840806441055182</v>
      </c>
      <c r="H278" s="5">
        <f t="shared" si="31"/>
        <v>24.933854814426919</v>
      </c>
      <c r="I278">
        <f t="shared" si="32"/>
        <v>4163</v>
      </c>
    </row>
    <row r="279" spans="1:9" x14ac:dyDescent="0.45">
      <c r="A279">
        <v>30</v>
      </c>
      <c r="B279">
        <v>500</v>
      </c>
      <c r="C279">
        <v>89</v>
      </c>
      <c r="D279">
        <f t="shared" si="28"/>
        <v>500</v>
      </c>
      <c r="E279" t="str">
        <f t="shared" si="29"/>
        <v>20+</v>
      </c>
      <c r="F279" s="1">
        <f>INDEX('App-Click Conversion by Rank'!$K$12:$S$31,MATCH(E279,'App-Click Conversion by Rank'!$J$12:$J$31,0),MATCH(D279,'App-Click Conversion by Rank'!$K$11:$S$11,0))</f>
        <v>5.1121544079290558E-3</v>
      </c>
      <c r="G279" s="3">
        <f t="shared" si="30"/>
        <v>0.45498174230568594</v>
      </c>
      <c r="H279" s="5">
        <f t="shared" si="31"/>
        <v>13.649452269170578</v>
      </c>
      <c r="I279">
        <f t="shared" si="32"/>
        <v>2670</v>
      </c>
    </row>
    <row r="280" spans="1:9" x14ac:dyDescent="0.45">
      <c r="A280">
        <v>9</v>
      </c>
      <c r="B280">
        <v>250</v>
      </c>
      <c r="C280">
        <v>22</v>
      </c>
      <c r="D280">
        <f t="shared" si="28"/>
        <v>250</v>
      </c>
      <c r="E280">
        <f t="shared" si="29"/>
        <v>9</v>
      </c>
      <c r="F280" s="1">
        <f>INDEX('App-Click Conversion by Rank'!$K$12:$S$31,MATCH(E280,'App-Click Conversion by Rank'!$J$12:$J$31,0),MATCH(D280,'App-Click Conversion by Rank'!$K$11:$S$11,0))</f>
        <v>1.7475728155339806E-2</v>
      </c>
      <c r="G280" s="3">
        <f t="shared" si="30"/>
        <v>0.38446601941747571</v>
      </c>
      <c r="H280" s="5">
        <f t="shared" si="31"/>
        <v>3.4601941747572815</v>
      </c>
      <c r="I280">
        <f t="shared" si="32"/>
        <v>198</v>
      </c>
    </row>
    <row r="281" spans="1:9" x14ac:dyDescent="0.45">
      <c r="A281">
        <v>6</v>
      </c>
      <c r="B281">
        <v>250</v>
      </c>
      <c r="C281">
        <v>13</v>
      </c>
      <c r="D281">
        <f t="shared" si="28"/>
        <v>250</v>
      </c>
      <c r="E281">
        <f t="shared" si="29"/>
        <v>6</v>
      </c>
      <c r="F281" s="1">
        <f>INDEX('App-Click Conversion by Rank'!$K$12:$S$31,MATCH(E281,'App-Click Conversion by Rank'!$J$12:$J$31,0),MATCH(D281,'App-Click Conversion by Rank'!$K$11:$S$11,0))</f>
        <v>4.0523690773067333E-2</v>
      </c>
      <c r="G281" s="3">
        <f t="shared" si="30"/>
        <v>0.52680798004987528</v>
      </c>
      <c r="H281" s="5">
        <f t="shared" si="31"/>
        <v>3.1608478802992517</v>
      </c>
      <c r="I281">
        <f t="shared" si="32"/>
        <v>78</v>
      </c>
    </row>
    <row r="282" spans="1:9" x14ac:dyDescent="0.45">
      <c r="A282">
        <v>22</v>
      </c>
      <c r="B282">
        <v>450</v>
      </c>
      <c r="C282">
        <v>112</v>
      </c>
      <c r="D282">
        <f t="shared" si="28"/>
        <v>450</v>
      </c>
      <c r="E282" t="str">
        <f t="shared" si="29"/>
        <v>20+</v>
      </c>
      <c r="F282" s="1">
        <f>INDEX('App-Click Conversion by Rank'!$K$12:$S$31,MATCH(E282,'App-Click Conversion by Rank'!$J$12:$J$31,0),MATCH(D282,'App-Click Conversion by Rank'!$K$11:$S$11,0))</f>
        <v>5.6022408963585435E-3</v>
      </c>
      <c r="G282" s="3">
        <f t="shared" si="30"/>
        <v>0.62745098039215685</v>
      </c>
      <c r="H282" s="5">
        <f t="shared" si="31"/>
        <v>13.803921568627452</v>
      </c>
      <c r="I282">
        <f t="shared" si="32"/>
        <v>2464</v>
      </c>
    </row>
    <row r="283" spans="1:9" x14ac:dyDescent="0.45">
      <c r="A283">
        <v>29</v>
      </c>
      <c r="B283">
        <v>500</v>
      </c>
      <c r="C283">
        <v>125</v>
      </c>
      <c r="D283">
        <f t="shared" si="28"/>
        <v>500</v>
      </c>
      <c r="E283" t="str">
        <f t="shared" si="29"/>
        <v>20+</v>
      </c>
      <c r="F283" s="1">
        <f>INDEX('App-Click Conversion by Rank'!$K$12:$S$31,MATCH(E283,'App-Click Conversion by Rank'!$J$12:$J$31,0),MATCH(D283,'App-Click Conversion by Rank'!$K$11:$S$11,0))</f>
        <v>5.1121544079290558E-3</v>
      </c>
      <c r="G283" s="3">
        <f t="shared" si="30"/>
        <v>0.63901930099113202</v>
      </c>
      <c r="H283" s="5">
        <f t="shared" si="31"/>
        <v>18.531559728742828</v>
      </c>
      <c r="I283">
        <f t="shared" si="32"/>
        <v>3625</v>
      </c>
    </row>
    <row r="284" spans="1:9" x14ac:dyDescent="0.45">
      <c r="A284">
        <v>31</v>
      </c>
      <c r="B284">
        <v>600</v>
      </c>
      <c r="C284">
        <v>18</v>
      </c>
      <c r="D284" t="str">
        <f t="shared" si="28"/>
        <v>501+</v>
      </c>
      <c r="E284" t="str">
        <f t="shared" si="29"/>
        <v>20+</v>
      </c>
      <c r="F284" s="1">
        <f>INDEX('App-Click Conversion by Rank'!$K$12:$S$31,MATCH(E284,'App-Click Conversion by Rank'!$J$12:$J$31,0),MATCH(D284,'App-Click Conversion by Rank'!$K$11:$S$11,0))</f>
        <v>5.9893958237873931E-3</v>
      </c>
      <c r="G284" s="3">
        <f t="shared" si="30"/>
        <v>0.10780912482817308</v>
      </c>
      <c r="H284" s="5">
        <f t="shared" si="31"/>
        <v>3.3420828696733653</v>
      </c>
      <c r="I284">
        <f t="shared" si="32"/>
        <v>558</v>
      </c>
    </row>
    <row r="285" spans="1:9" x14ac:dyDescent="0.45">
      <c r="A285">
        <v>5</v>
      </c>
      <c r="B285">
        <v>500</v>
      </c>
      <c r="C285">
        <v>156</v>
      </c>
      <c r="D285">
        <f t="shared" si="28"/>
        <v>500</v>
      </c>
      <c r="E285">
        <f t="shared" si="29"/>
        <v>5</v>
      </c>
      <c r="F285" s="1">
        <f>INDEX('App-Click Conversion by Rank'!$K$12:$S$31,MATCH(E285,'App-Click Conversion by Rank'!$J$12:$J$31,0),MATCH(D285,'App-Click Conversion by Rank'!$K$11:$S$11,0))</f>
        <v>2.3398058252427186E-2</v>
      </c>
      <c r="G285" s="3">
        <f t="shared" si="30"/>
        <v>3.6500970873786409</v>
      </c>
      <c r="H285" s="5">
        <f t="shared" si="31"/>
        <v>18.250485436893204</v>
      </c>
      <c r="I285">
        <f t="shared" si="32"/>
        <v>780</v>
      </c>
    </row>
    <row r="286" spans="1:9" x14ac:dyDescent="0.45">
      <c r="A286">
        <v>25</v>
      </c>
      <c r="B286">
        <v>550</v>
      </c>
      <c r="C286">
        <v>173</v>
      </c>
      <c r="D286" t="str">
        <f t="shared" si="28"/>
        <v>501+</v>
      </c>
      <c r="E286" t="str">
        <f t="shared" si="29"/>
        <v>20+</v>
      </c>
      <c r="F286" s="1">
        <f>INDEX('App-Click Conversion by Rank'!$K$12:$S$31,MATCH(E286,'App-Click Conversion by Rank'!$J$12:$J$31,0),MATCH(D286,'App-Click Conversion by Rank'!$K$11:$S$11,0))</f>
        <v>5.9893958237873931E-3</v>
      </c>
      <c r="G286" s="3">
        <f t="shared" si="30"/>
        <v>1.0361654775152189</v>
      </c>
      <c r="H286" s="5">
        <f t="shared" si="31"/>
        <v>25.904136937880473</v>
      </c>
      <c r="I286">
        <f t="shared" si="32"/>
        <v>4325</v>
      </c>
    </row>
    <row r="287" spans="1:9" x14ac:dyDescent="0.45">
      <c r="A287">
        <v>33</v>
      </c>
      <c r="B287">
        <v>500</v>
      </c>
      <c r="C287">
        <v>43</v>
      </c>
      <c r="D287">
        <f t="shared" si="28"/>
        <v>500</v>
      </c>
      <c r="E287" t="str">
        <f t="shared" si="29"/>
        <v>20+</v>
      </c>
      <c r="F287" s="1">
        <f>INDEX('App-Click Conversion by Rank'!$K$12:$S$31,MATCH(E287,'App-Click Conversion by Rank'!$J$12:$J$31,0),MATCH(D287,'App-Click Conversion by Rank'!$K$11:$S$11,0))</f>
        <v>5.1121544079290558E-3</v>
      </c>
      <c r="G287" s="3">
        <f t="shared" si="30"/>
        <v>0.21982263954094941</v>
      </c>
      <c r="H287" s="5">
        <f t="shared" si="31"/>
        <v>7.2541471048513309</v>
      </c>
      <c r="I287">
        <f t="shared" si="32"/>
        <v>1419</v>
      </c>
    </row>
    <row r="288" spans="1:9" x14ac:dyDescent="0.45">
      <c r="A288">
        <v>14</v>
      </c>
      <c r="B288">
        <v>350</v>
      </c>
      <c r="C288">
        <v>30</v>
      </c>
      <c r="D288">
        <f t="shared" si="28"/>
        <v>350</v>
      </c>
      <c r="E288">
        <f t="shared" si="29"/>
        <v>14</v>
      </c>
      <c r="F288" s="1">
        <f>INDEX('App-Click Conversion by Rank'!$K$12:$S$31,MATCH(E288,'App-Click Conversion by Rank'!$J$12:$J$31,0),MATCH(D288,'App-Click Conversion by Rank'!$K$11:$S$11,0))</f>
        <v>2.4257125530624622E-3</v>
      </c>
      <c r="G288" s="3">
        <f t="shared" si="30"/>
        <v>7.2771376591873868E-2</v>
      </c>
      <c r="H288" s="5">
        <f t="shared" si="31"/>
        <v>1.0187992722862342</v>
      </c>
      <c r="I288">
        <f t="shared" si="32"/>
        <v>420</v>
      </c>
    </row>
    <row r="289" spans="1:9" x14ac:dyDescent="0.45">
      <c r="A289">
        <v>37</v>
      </c>
      <c r="B289">
        <v>550</v>
      </c>
      <c r="C289">
        <v>38</v>
      </c>
      <c r="D289" t="str">
        <f t="shared" si="28"/>
        <v>501+</v>
      </c>
      <c r="E289" t="str">
        <f t="shared" si="29"/>
        <v>20+</v>
      </c>
      <c r="F289" s="1">
        <f>INDEX('App-Click Conversion by Rank'!$K$12:$S$31,MATCH(E289,'App-Click Conversion by Rank'!$J$12:$J$31,0),MATCH(D289,'App-Click Conversion by Rank'!$K$11:$S$11,0))</f>
        <v>5.9893958237873931E-3</v>
      </c>
      <c r="G289" s="3">
        <f t="shared" si="30"/>
        <v>0.22759704130392094</v>
      </c>
      <c r="H289" s="5">
        <f t="shared" si="31"/>
        <v>8.4210905282450756</v>
      </c>
      <c r="I289">
        <f t="shared" si="32"/>
        <v>1406</v>
      </c>
    </row>
    <row r="290" spans="1:9" x14ac:dyDescent="0.45">
      <c r="A290">
        <v>20</v>
      </c>
      <c r="B290">
        <v>400</v>
      </c>
      <c r="C290">
        <v>56</v>
      </c>
      <c r="D290">
        <f t="shared" si="28"/>
        <v>400</v>
      </c>
      <c r="E290" t="str">
        <f t="shared" si="29"/>
        <v>20+</v>
      </c>
      <c r="F290" s="1">
        <f>INDEX('App-Click Conversion by Rank'!$K$12:$S$31,MATCH(E290,'App-Click Conversion by Rank'!$J$12:$J$31,0),MATCH(D290,'App-Click Conversion by Rank'!$K$11:$S$11,0))</f>
        <v>6.4196625091709463E-3</v>
      </c>
      <c r="G290" s="3">
        <f t="shared" si="30"/>
        <v>0.35950110051357298</v>
      </c>
      <c r="H290" s="5">
        <f t="shared" si="31"/>
        <v>7.1900220102714592</v>
      </c>
      <c r="I290">
        <f t="shared" si="32"/>
        <v>1120</v>
      </c>
    </row>
    <row r="291" spans="1:9" x14ac:dyDescent="0.45">
      <c r="A291">
        <v>1</v>
      </c>
      <c r="B291">
        <v>500</v>
      </c>
      <c r="C291">
        <v>18</v>
      </c>
      <c r="D291">
        <f t="shared" si="28"/>
        <v>500</v>
      </c>
      <c r="E291">
        <f t="shared" si="29"/>
        <v>1</v>
      </c>
      <c r="F291" s="1">
        <f>INDEX('App-Click Conversion by Rank'!$K$12:$S$31,MATCH(E291,'App-Click Conversion by Rank'!$J$12:$J$31,0),MATCH(D291,'App-Click Conversion by Rank'!$K$11:$S$11,0))</f>
        <v>0.14095071958133448</v>
      </c>
      <c r="G291" s="3">
        <f t="shared" si="30"/>
        <v>2.5371129524640206</v>
      </c>
      <c r="H291" s="5">
        <f t="shared" si="31"/>
        <v>2.5371129524640206</v>
      </c>
      <c r="I291">
        <f t="shared" si="32"/>
        <v>18</v>
      </c>
    </row>
    <row r="292" spans="1:9" x14ac:dyDescent="0.45">
      <c r="A292">
        <v>24</v>
      </c>
      <c r="B292">
        <v>600</v>
      </c>
      <c r="C292">
        <v>17</v>
      </c>
      <c r="D292" t="str">
        <f t="shared" si="28"/>
        <v>501+</v>
      </c>
      <c r="E292" t="str">
        <f t="shared" si="29"/>
        <v>20+</v>
      </c>
      <c r="F292" s="1">
        <f>INDEX('App-Click Conversion by Rank'!$K$12:$S$31,MATCH(E292,'App-Click Conversion by Rank'!$J$12:$J$31,0),MATCH(D292,'App-Click Conversion by Rank'!$K$11:$S$11,0))</f>
        <v>5.9893958237873931E-3</v>
      </c>
      <c r="G292" s="3">
        <f t="shared" si="30"/>
        <v>0.10181972900438568</v>
      </c>
      <c r="H292" s="5">
        <f t="shared" si="31"/>
        <v>2.4436734961052564</v>
      </c>
      <c r="I292">
        <f t="shared" si="32"/>
        <v>408</v>
      </c>
    </row>
    <row r="293" spans="1:9" x14ac:dyDescent="0.45">
      <c r="A293">
        <v>27</v>
      </c>
      <c r="B293">
        <v>600</v>
      </c>
      <c r="C293">
        <v>20</v>
      </c>
      <c r="D293" t="str">
        <f t="shared" si="28"/>
        <v>501+</v>
      </c>
      <c r="E293" t="str">
        <f t="shared" si="29"/>
        <v>20+</v>
      </c>
      <c r="F293" s="1">
        <f>INDEX('App-Click Conversion by Rank'!$K$12:$S$31,MATCH(E293,'App-Click Conversion by Rank'!$J$12:$J$31,0),MATCH(D293,'App-Click Conversion by Rank'!$K$11:$S$11,0))</f>
        <v>5.9893958237873931E-3</v>
      </c>
      <c r="G293" s="3">
        <f t="shared" si="30"/>
        <v>0.11978791647574787</v>
      </c>
      <c r="H293" s="5">
        <f t="shared" si="31"/>
        <v>3.2342737448451926</v>
      </c>
      <c r="I293">
        <f t="shared" si="32"/>
        <v>540</v>
      </c>
    </row>
    <row r="294" spans="1:9" x14ac:dyDescent="0.45">
      <c r="A294">
        <v>17</v>
      </c>
      <c r="B294">
        <v>250</v>
      </c>
      <c r="C294">
        <v>2</v>
      </c>
      <c r="D294">
        <f t="shared" si="28"/>
        <v>250</v>
      </c>
      <c r="E294">
        <f t="shared" si="29"/>
        <v>17</v>
      </c>
      <c r="F294" s="1">
        <f>INDEX('App-Click Conversion by Rank'!$K$12:$S$31,MATCH(E294,'App-Click Conversion by Rank'!$J$12:$J$31,0),MATCH(D294,'App-Click Conversion by Rank'!$K$11:$S$11,0))</f>
        <v>1.5306122448979591E-2</v>
      </c>
      <c r="G294" s="3">
        <f t="shared" si="30"/>
        <v>3.0612244897959183E-2</v>
      </c>
      <c r="H294" s="5">
        <f t="shared" si="31"/>
        <v>0.52040816326530615</v>
      </c>
      <c r="I294">
        <f t="shared" si="32"/>
        <v>34</v>
      </c>
    </row>
    <row r="295" spans="1:9" x14ac:dyDescent="0.45">
      <c r="A295">
        <v>23</v>
      </c>
      <c r="B295">
        <v>350</v>
      </c>
      <c r="C295">
        <v>4</v>
      </c>
      <c r="D295">
        <f t="shared" si="28"/>
        <v>350</v>
      </c>
      <c r="E295" t="str">
        <f t="shared" si="29"/>
        <v>20+</v>
      </c>
      <c r="F295" s="1">
        <f>INDEX('App-Click Conversion by Rank'!$K$12:$S$31,MATCH(E295,'App-Click Conversion by Rank'!$J$12:$J$31,0),MATCH(D295,'App-Click Conversion by Rank'!$K$11:$S$11,0))</f>
        <v>4.1279669762641896E-3</v>
      </c>
      <c r="G295" s="3">
        <f t="shared" si="30"/>
        <v>1.6511867905056758E-2</v>
      </c>
      <c r="H295" s="5">
        <f t="shared" si="31"/>
        <v>0.37977296181630543</v>
      </c>
      <c r="I295">
        <f t="shared" si="32"/>
        <v>92</v>
      </c>
    </row>
    <row r="296" spans="1:9" x14ac:dyDescent="0.45">
      <c r="A296">
        <v>31</v>
      </c>
      <c r="B296">
        <v>350</v>
      </c>
      <c r="C296">
        <v>1</v>
      </c>
      <c r="D296">
        <f t="shared" ref="D296:D306" si="33">IF(B296&lt;=150,"&lt;=150",IF(B296&gt;500,"501+",B296))</f>
        <v>350</v>
      </c>
      <c r="E296" t="str">
        <f t="shared" ref="E296:E306" si="34">IF(A296&gt;=20,"20+",A296)</f>
        <v>20+</v>
      </c>
      <c r="F296" s="1">
        <f>INDEX('App-Click Conversion by Rank'!$K$12:$S$31,MATCH(E296,'App-Click Conversion by Rank'!$J$12:$J$31,0),MATCH(D296,'App-Click Conversion by Rank'!$K$11:$S$11,0))</f>
        <v>4.1279669762641896E-3</v>
      </c>
      <c r="G296" s="3">
        <f t="shared" ref="G296:G306" si="35">C296*F296</f>
        <v>4.1279669762641896E-3</v>
      </c>
      <c r="H296" s="5">
        <f t="shared" ref="H296:H306" si="36">G296*A296</f>
        <v>0.12796697626418987</v>
      </c>
      <c r="I296">
        <f t="shared" ref="I296:I306" si="37">C296*A296</f>
        <v>31</v>
      </c>
    </row>
    <row r="297" spans="1:9" x14ac:dyDescent="0.45">
      <c r="A297">
        <v>14</v>
      </c>
      <c r="B297">
        <v>300</v>
      </c>
      <c r="C297">
        <v>6</v>
      </c>
      <c r="D297">
        <f t="shared" si="33"/>
        <v>300</v>
      </c>
      <c r="E297">
        <f t="shared" si="34"/>
        <v>14</v>
      </c>
      <c r="F297" s="1">
        <f>INDEX('App-Click Conversion by Rank'!$K$12:$S$31,MATCH(E297,'App-Click Conversion by Rank'!$J$12:$J$31,0),MATCH(D297,'App-Click Conversion by Rank'!$K$11:$S$11,0))</f>
        <v>1.1160714285714286E-2</v>
      </c>
      <c r="G297" s="3">
        <f t="shared" si="35"/>
        <v>6.6964285714285712E-2</v>
      </c>
      <c r="H297" s="5">
        <f t="shared" si="36"/>
        <v>0.9375</v>
      </c>
      <c r="I297">
        <f t="shared" si="37"/>
        <v>84</v>
      </c>
    </row>
    <row r="298" spans="1:9" x14ac:dyDescent="0.45">
      <c r="A298">
        <v>42</v>
      </c>
      <c r="B298">
        <v>500</v>
      </c>
      <c r="C298">
        <v>3</v>
      </c>
      <c r="D298">
        <f t="shared" si="33"/>
        <v>500</v>
      </c>
      <c r="E298" t="str">
        <f t="shared" si="34"/>
        <v>20+</v>
      </c>
      <c r="F298" s="1">
        <f>INDEX('App-Click Conversion by Rank'!$K$12:$S$31,MATCH(E298,'App-Click Conversion by Rank'!$J$12:$J$31,0),MATCH(D298,'App-Click Conversion by Rank'!$K$11:$S$11,0))</f>
        <v>5.1121544079290558E-3</v>
      </c>
      <c r="G298" s="3">
        <f t="shared" si="35"/>
        <v>1.5336463223787167E-2</v>
      </c>
      <c r="H298" s="5">
        <f t="shared" si="36"/>
        <v>0.64413145539906103</v>
      </c>
      <c r="I298">
        <f t="shared" si="37"/>
        <v>126</v>
      </c>
    </row>
    <row r="299" spans="1:9" x14ac:dyDescent="0.45">
      <c r="A299">
        <v>23</v>
      </c>
      <c r="B299">
        <v>300</v>
      </c>
      <c r="C299">
        <v>1</v>
      </c>
      <c r="D299">
        <f t="shared" si="33"/>
        <v>300</v>
      </c>
      <c r="E299" t="str">
        <f t="shared" si="34"/>
        <v>20+</v>
      </c>
      <c r="F299" s="1">
        <f>INDEX('App-Click Conversion by Rank'!$K$12:$S$31,MATCH(E299,'App-Click Conversion by Rank'!$J$12:$J$31,0),MATCH(D299,'App-Click Conversion by Rank'!$K$11:$S$11,0))</f>
        <v>4.5385779122541605E-3</v>
      </c>
      <c r="G299" s="3">
        <f t="shared" si="35"/>
        <v>4.5385779122541605E-3</v>
      </c>
      <c r="H299" s="5">
        <f t="shared" si="36"/>
        <v>0.1043872919818457</v>
      </c>
      <c r="I299">
        <f t="shared" si="37"/>
        <v>23</v>
      </c>
    </row>
    <row r="300" spans="1:9" x14ac:dyDescent="0.45">
      <c r="A300">
        <v>26</v>
      </c>
      <c r="B300">
        <v>350</v>
      </c>
      <c r="C300">
        <v>1</v>
      </c>
      <c r="D300">
        <f t="shared" si="33"/>
        <v>350</v>
      </c>
      <c r="E300" t="str">
        <f t="shared" si="34"/>
        <v>20+</v>
      </c>
      <c r="F300" s="1">
        <f>INDEX('App-Click Conversion by Rank'!$K$12:$S$31,MATCH(E300,'App-Click Conversion by Rank'!$J$12:$J$31,0),MATCH(D300,'App-Click Conversion by Rank'!$K$11:$S$11,0))</f>
        <v>4.1279669762641896E-3</v>
      </c>
      <c r="G300" s="3">
        <f t="shared" si="35"/>
        <v>4.1279669762641896E-3</v>
      </c>
      <c r="H300" s="5">
        <f t="shared" si="36"/>
        <v>0.10732714138286893</v>
      </c>
      <c r="I300">
        <f t="shared" si="37"/>
        <v>26</v>
      </c>
    </row>
    <row r="301" spans="1:9" x14ac:dyDescent="0.45">
      <c r="A301">
        <v>30</v>
      </c>
      <c r="B301">
        <v>550</v>
      </c>
      <c r="C301">
        <v>116</v>
      </c>
      <c r="D301" t="str">
        <f t="shared" si="33"/>
        <v>501+</v>
      </c>
      <c r="E301" t="str">
        <f t="shared" si="34"/>
        <v>20+</v>
      </c>
      <c r="F301" s="1">
        <f>INDEX('App-Click Conversion by Rank'!$K$12:$S$31,MATCH(E301,'App-Click Conversion by Rank'!$J$12:$J$31,0),MATCH(D301,'App-Click Conversion by Rank'!$K$11:$S$11,0))</f>
        <v>5.9893958237873931E-3</v>
      </c>
      <c r="G301" s="3">
        <f t="shared" si="35"/>
        <v>0.69476991555933765</v>
      </c>
      <c r="H301" s="5">
        <f t="shared" si="36"/>
        <v>20.843097466780129</v>
      </c>
      <c r="I301">
        <f t="shared" si="37"/>
        <v>3480</v>
      </c>
    </row>
    <row r="302" spans="1:9" x14ac:dyDescent="0.45">
      <c r="A302">
        <v>11</v>
      </c>
      <c r="B302">
        <v>350</v>
      </c>
      <c r="C302">
        <v>97</v>
      </c>
      <c r="D302">
        <f t="shared" si="33"/>
        <v>350</v>
      </c>
      <c r="E302">
        <f t="shared" si="34"/>
        <v>11</v>
      </c>
      <c r="F302" s="1">
        <f>INDEX('App-Click Conversion by Rank'!$K$12:$S$31,MATCH(E302,'App-Click Conversion by Rank'!$J$12:$J$31,0),MATCH(D302,'App-Click Conversion by Rank'!$K$11:$S$11,0))</f>
        <v>1.101141924959217E-2</v>
      </c>
      <c r="G302" s="3">
        <f t="shared" si="35"/>
        <v>1.0681076672104404</v>
      </c>
      <c r="H302" s="5">
        <f t="shared" si="36"/>
        <v>11.749184339314844</v>
      </c>
      <c r="I302">
        <f t="shared" si="37"/>
        <v>1067</v>
      </c>
    </row>
    <row r="303" spans="1:9" x14ac:dyDescent="0.45">
      <c r="A303">
        <v>7</v>
      </c>
      <c r="B303">
        <v>350</v>
      </c>
      <c r="C303">
        <v>202</v>
      </c>
      <c r="D303">
        <f t="shared" si="33"/>
        <v>350</v>
      </c>
      <c r="E303">
        <f t="shared" si="34"/>
        <v>7</v>
      </c>
      <c r="F303" s="1">
        <f>INDEX('App-Click Conversion by Rank'!$K$12:$S$31,MATCH(E303,'App-Click Conversion by Rank'!$J$12:$J$31,0),MATCH(D303,'App-Click Conversion by Rank'!$K$11:$S$11,0))</f>
        <v>2.2263450834879406E-2</v>
      </c>
      <c r="G303" s="3">
        <f t="shared" si="35"/>
        <v>4.4972170686456403</v>
      </c>
      <c r="H303" s="5">
        <f t="shared" si="36"/>
        <v>31.480519480519483</v>
      </c>
      <c r="I303">
        <f t="shared" si="37"/>
        <v>1414</v>
      </c>
    </row>
    <row r="304" spans="1:9" x14ac:dyDescent="0.45">
      <c r="A304">
        <v>15</v>
      </c>
      <c r="B304">
        <v>500</v>
      </c>
      <c r="C304">
        <v>758</v>
      </c>
      <c r="D304">
        <f t="shared" si="33"/>
        <v>500</v>
      </c>
      <c r="E304">
        <f t="shared" si="34"/>
        <v>15</v>
      </c>
      <c r="F304" s="1">
        <f>INDEX('App-Click Conversion by Rank'!$K$12:$S$31,MATCH(E304,'App-Click Conversion by Rank'!$J$12:$J$31,0),MATCH(D304,'App-Click Conversion by Rank'!$K$11:$S$11,0))</f>
        <v>4.7119009154550353E-3</v>
      </c>
      <c r="G304" s="3">
        <f t="shared" si="35"/>
        <v>3.571620893914917</v>
      </c>
      <c r="H304" s="5">
        <f t="shared" si="36"/>
        <v>53.574313408723754</v>
      </c>
      <c r="I304">
        <f t="shared" si="37"/>
        <v>11370</v>
      </c>
    </row>
    <row r="305" spans="1:9" x14ac:dyDescent="0.45">
      <c r="A305">
        <v>4</v>
      </c>
      <c r="B305">
        <v>450</v>
      </c>
      <c r="C305">
        <v>350</v>
      </c>
      <c r="D305">
        <f t="shared" si="33"/>
        <v>450</v>
      </c>
      <c r="E305">
        <f t="shared" si="34"/>
        <v>4</v>
      </c>
      <c r="F305" s="1">
        <f>INDEX('App-Click Conversion by Rank'!$K$12:$S$31,MATCH(E305,'App-Click Conversion by Rank'!$J$12:$J$31,0),MATCH(D305,'App-Click Conversion by Rank'!$K$11:$S$11,0))</f>
        <v>3.7920850561134083E-2</v>
      </c>
      <c r="G305" s="3">
        <f t="shared" si="35"/>
        <v>13.272297696396929</v>
      </c>
      <c r="H305" s="5">
        <f t="shared" si="36"/>
        <v>53.089190785587718</v>
      </c>
      <c r="I305">
        <f t="shared" si="37"/>
        <v>1400</v>
      </c>
    </row>
    <row r="306" spans="1:9" x14ac:dyDescent="0.45">
      <c r="A306">
        <v>15</v>
      </c>
      <c r="B306">
        <v>450</v>
      </c>
      <c r="C306">
        <v>245</v>
      </c>
      <c r="D306">
        <f t="shared" si="33"/>
        <v>450</v>
      </c>
      <c r="E306">
        <f t="shared" si="34"/>
        <v>15</v>
      </c>
      <c r="F306" s="1">
        <f>INDEX('App-Click Conversion by Rank'!$K$12:$S$31,MATCH(E306,'App-Click Conversion by Rank'!$J$12:$J$31,0),MATCH(D306,'App-Click Conversion by Rank'!$K$11:$S$11,0))</f>
        <v>3.0599755201958386E-3</v>
      </c>
      <c r="G306" s="3">
        <f t="shared" si="35"/>
        <v>0.74969400244798046</v>
      </c>
      <c r="H306" s="5">
        <f t="shared" si="36"/>
        <v>11.245410036719706</v>
      </c>
      <c r="I306">
        <f t="shared" si="37"/>
        <v>3675</v>
      </c>
    </row>
    <row r="307" spans="1:9" x14ac:dyDescent="0.45">
      <c r="A307">
        <v>4</v>
      </c>
      <c r="B307">
        <v>350</v>
      </c>
      <c r="C307">
        <v>212</v>
      </c>
      <c r="D307">
        <f t="shared" ref="D307:D315" si="38">IF(B307&lt;=150,"&lt;=150",IF(B307&gt;500,"501+",B307))</f>
        <v>350</v>
      </c>
      <c r="E307">
        <f t="shared" ref="E307:E315" si="39">IF(A307&gt;=20,"20+",A307)</f>
        <v>4</v>
      </c>
      <c r="F307" s="1">
        <f>INDEX('App-Click Conversion by Rank'!$K$12:$S$31,MATCH(E307,'App-Click Conversion by Rank'!$J$12:$J$31,0),MATCH(D307,'App-Click Conversion by Rank'!$K$11:$S$11,0))</f>
        <v>5.6047851129818346E-2</v>
      </c>
      <c r="G307" s="3">
        <f t="shared" ref="G307:G315" si="40">C307*F307</f>
        <v>11.88214443952149</v>
      </c>
      <c r="H307" s="5">
        <f t="shared" ref="H307:H315" si="41">G307*A307</f>
        <v>47.528577758085959</v>
      </c>
      <c r="I307">
        <f t="shared" ref="I307:I315" si="42">C307*A307</f>
        <v>848</v>
      </c>
    </row>
    <row r="308" spans="1:9" x14ac:dyDescent="0.45">
      <c r="A308">
        <v>4</v>
      </c>
      <c r="B308">
        <v>300</v>
      </c>
      <c r="C308">
        <v>141</v>
      </c>
      <c r="D308">
        <f t="shared" si="38"/>
        <v>300</v>
      </c>
      <c r="E308">
        <f t="shared" si="39"/>
        <v>4</v>
      </c>
      <c r="F308" s="1">
        <f>INDEX('App-Click Conversion by Rank'!$K$12:$S$31,MATCH(E308,'App-Click Conversion by Rank'!$J$12:$J$31,0),MATCH(D308,'App-Click Conversion by Rank'!$K$11:$S$11,0))</f>
        <v>5.5850234009360372E-2</v>
      </c>
      <c r="G308" s="3">
        <f t="shared" si="40"/>
        <v>7.8748829953198127</v>
      </c>
      <c r="H308" s="5">
        <f t="shared" si="41"/>
        <v>31.499531981279251</v>
      </c>
      <c r="I308">
        <f t="shared" si="42"/>
        <v>564</v>
      </c>
    </row>
    <row r="309" spans="1:9" x14ac:dyDescent="0.45">
      <c r="A309">
        <v>31</v>
      </c>
      <c r="B309">
        <v>650</v>
      </c>
      <c r="C309">
        <v>1</v>
      </c>
      <c r="D309" t="str">
        <f t="shared" si="38"/>
        <v>501+</v>
      </c>
      <c r="E309" t="str">
        <f t="shared" si="39"/>
        <v>20+</v>
      </c>
      <c r="F309" s="1">
        <f>INDEX('App-Click Conversion by Rank'!$K$12:$S$31,MATCH(E309,'App-Click Conversion by Rank'!$J$12:$J$31,0),MATCH(D309,'App-Click Conversion by Rank'!$K$11:$S$11,0))</f>
        <v>5.9893958237873931E-3</v>
      </c>
      <c r="G309" s="3">
        <f t="shared" si="40"/>
        <v>5.9893958237873931E-3</v>
      </c>
      <c r="H309" s="5">
        <f t="shared" si="41"/>
        <v>0.1856712705374092</v>
      </c>
      <c r="I309">
        <f t="shared" si="42"/>
        <v>31</v>
      </c>
    </row>
    <row r="310" spans="1:9" x14ac:dyDescent="0.45">
      <c r="A310">
        <v>15</v>
      </c>
      <c r="B310">
        <v>550</v>
      </c>
      <c r="C310">
        <v>348</v>
      </c>
      <c r="D310" t="str">
        <f t="shared" si="38"/>
        <v>501+</v>
      </c>
      <c r="E310">
        <f t="shared" si="39"/>
        <v>15</v>
      </c>
      <c r="F310" s="1">
        <f>INDEX('App-Click Conversion by Rank'!$K$12:$S$31,MATCH(E310,'App-Click Conversion by Rank'!$J$12:$J$31,0),MATCH(D310,'App-Click Conversion by Rank'!$K$11:$S$11,0))</f>
        <v>3.3794657225619568E-3</v>
      </c>
      <c r="G310" s="3">
        <f t="shared" si="40"/>
        <v>1.176054071451561</v>
      </c>
      <c r="H310" s="5">
        <f t="shared" si="41"/>
        <v>17.640811071773417</v>
      </c>
      <c r="I310">
        <f t="shared" si="42"/>
        <v>5220</v>
      </c>
    </row>
    <row r="311" spans="1:9" x14ac:dyDescent="0.45">
      <c r="A311">
        <v>5</v>
      </c>
      <c r="B311">
        <v>450</v>
      </c>
      <c r="C311">
        <v>336</v>
      </c>
      <c r="D311">
        <f t="shared" si="38"/>
        <v>450</v>
      </c>
      <c r="E311">
        <f t="shared" si="39"/>
        <v>5</v>
      </c>
      <c r="F311" s="1">
        <f>INDEX('App-Click Conversion by Rank'!$K$12:$S$31,MATCH(E311,'App-Click Conversion by Rank'!$J$12:$J$31,0),MATCH(D311,'App-Click Conversion by Rank'!$K$11:$S$11,0))</f>
        <v>2.576881001580163E-2</v>
      </c>
      <c r="G311" s="3">
        <f t="shared" si="40"/>
        <v>8.6583201653093482</v>
      </c>
      <c r="H311" s="5">
        <f t="shared" si="41"/>
        <v>43.291600826546741</v>
      </c>
      <c r="I311">
        <f t="shared" si="42"/>
        <v>1680</v>
      </c>
    </row>
    <row r="312" spans="1:9" x14ac:dyDescent="0.45">
      <c r="A312">
        <v>9</v>
      </c>
      <c r="B312">
        <v>300</v>
      </c>
      <c r="C312">
        <v>55</v>
      </c>
      <c r="D312">
        <f t="shared" si="38"/>
        <v>300</v>
      </c>
      <c r="E312">
        <f t="shared" si="39"/>
        <v>9</v>
      </c>
      <c r="F312" s="1">
        <f>INDEX('App-Click Conversion by Rank'!$K$12:$S$31,MATCH(E312,'App-Click Conversion by Rank'!$J$12:$J$31,0),MATCH(D312,'App-Click Conversion by Rank'!$K$11:$S$11,0))</f>
        <v>2.0078354554358472E-2</v>
      </c>
      <c r="G312" s="3">
        <f t="shared" si="40"/>
        <v>1.1043095004897159</v>
      </c>
      <c r="H312" s="5">
        <f t="shared" si="41"/>
        <v>9.9387855044074431</v>
      </c>
      <c r="I312">
        <f t="shared" si="42"/>
        <v>495</v>
      </c>
    </row>
    <row r="313" spans="1:9" x14ac:dyDescent="0.45">
      <c r="A313">
        <v>7</v>
      </c>
      <c r="B313">
        <v>300</v>
      </c>
      <c r="C313">
        <v>90</v>
      </c>
      <c r="D313">
        <f t="shared" si="38"/>
        <v>300</v>
      </c>
      <c r="E313">
        <f t="shared" si="39"/>
        <v>7</v>
      </c>
      <c r="F313" s="1">
        <f>INDEX('App-Click Conversion by Rank'!$K$12:$S$31,MATCH(E313,'App-Click Conversion by Rank'!$J$12:$J$31,0),MATCH(D313,'App-Click Conversion by Rank'!$K$11:$S$11,0))</f>
        <v>3.3102386451116246E-2</v>
      </c>
      <c r="G313" s="3">
        <f t="shared" si="40"/>
        <v>2.9792147806004623</v>
      </c>
      <c r="H313" s="5">
        <f t="shared" si="41"/>
        <v>20.854503464203237</v>
      </c>
      <c r="I313">
        <f t="shared" si="42"/>
        <v>630</v>
      </c>
    </row>
    <row r="314" spans="1:9" x14ac:dyDescent="0.45">
      <c r="A314">
        <v>17</v>
      </c>
      <c r="B314">
        <v>400</v>
      </c>
      <c r="C314">
        <v>48</v>
      </c>
      <c r="D314">
        <f t="shared" si="38"/>
        <v>400</v>
      </c>
      <c r="E314">
        <f t="shared" si="39"/>
        <v>17</v>
      </c>
      <c r="F314" s="1">
        <f>INDEX('App-Click Conversion by Rank'!$K$12:$S$31,MATCH(E314,'App-Click Conversion by Rank'!$J$12:$J$31,0),MATCH(D314,'App-Click Conversion by Rank'!$K$11:$S$11,0))</f>
        <v>4.7598442232799658E-3</v>
      </c>
      <c r="G314" s="3">
        <f t="shared" si="40"/>
        <v>0.22847252271743834</v>
      </c>
      <c r="H314" s="5">
        <f t="shared" si="41"/>
        <v>3.8840328861964517</v>
      </c>
      <c r="I314">
        <f t="shared" si="42"/>
        <v>816</v>
      </c>
    </row>
    <row r="315" spans="1:9" x14ac:dyDescent="0.45">
      <c r="A315">
        <v>35</v>
      </c>
      <c r="B315">
        <v>500</v>
      </c>
      <c r="C315">
        <v>34</v>
      </c>
      <c r="D315">
        <f t="shared" si="38"/>
        <v>500</v>
      </c>
      <c r="E315" t="str">
        <f t="shared" si="39"/>
        <v>20+</v>
      </c>
      <c r="F315" s="1">
        <f>INDEX('App-Click Conversion by Rank'!$K$12:$S$31,MATCH(E315,'App-Click Conversion by Rank'!$J$12:$J$31,0),MATCH(D315,'App-Click Conversion by Rank'!$K$11:$S$11,0))</f>
        <v>5.1121544079290558E-3</v>
      </c>
      <c r="G315" s="3">
        <f t="shared" si="40"/>
        <v>0.1738132498695879</v>
      </c>
      <c r="H315" s="5">
        <f t="shared" si="41"/>
        <v>6.0834637454355764</v>
      </c>
      <c r="I315">
        <f t="shared" si="42"/>
        <v>1190</v>
      </c>
    </row>
    <row r="316" spans="1:9" x14ac:dyDescent="0.45">
      <c r="A316">
        <v>9</v>
      </c>
      <c r="B316">
        <v>350</v>
      </c>
      <c r="C316">
        <v>113</v>
      </c>
      <c r="D316">
        <f t="shared" ref="D316:D337" si="43">IF(B316&lt;=150,"&lt;=150",IF(B316&gt;500,"501+",B316))</f>
        <v>350</v>
      </c>
      <c r="E316">
        <f t="shared" ref="E316:E337" si="44">IF(A316&gt;=20,"20+",A316)</f>
        <v>9</v>
      </c>
      <c r="F316" s="1">
        <f>INDEX('App-Click Conversion by Rank'!$K$12:$S$31,MATCH(E316,'App-Click Conversion by Rank'!$J$12:$J$31,0),MATCH(D316,'App-Click Conversion by Rank'!$K$11:$S$11,0))</f>
        <v>1.4294996751137101E-2</v>
      </c>
      <c r="G316" s="3">
        <f t="shared" ref="G316:G337" si="45">C316*F316</f>
        <v>1.6153346328784925</v>
      </c>
      <c r="H316" s="5">
        <f t="shared" ref="H316:H337" si="46">G316*A316</f>
        <v>14.538011695906434</v>
      </c>
      <c r="I316">
        <f t="shared" ref="I316:I337" si="47">C316*A316</f>
        <v>1017</v>
      </c>
    </row>
    <row r="317" spans="1:9" x14ac:dyDescent="0.45">
      <c r="A317">
        <v>35</v>
      </c>
      <c r="B317">
        <v>450</v>
      </c>
      <c r="C317">
        <v>4</v>
      </c>
      <c r="D317">
        <f t="shared" si="43"/>
        <v>450</v>
      </c>
      <c r="E317" t="str">
        <f t="shared" si="44"/>
        <v>20+</v>
      </c>
      <c r="F317" s="1">
        <f>INDEX('App-Click Conversion by Rank'!$K$12:$S$31,MATCH(E317,'App-Click Conversion by Rank'!$J$12:$J$31,0),MATCH(D317,'App-Click Conversion by Rank'!$K$11:$S$11,0))</f>
        <v>5.6022408963585435E-3</v>
      </c>
      <c r="G317" s="3">
        <f t="shared" si="45"/>
        <v>2.2408963585434174E-2</v>
      </c>
      <c r="H317" s="5">
        <f t="shared" si="46"/>
        <v>0.78431372549019607</v>
      </c>
      <c r="I317">
        <f t="shared" si="47"/>
        <v>140</v>
      </c>
    </row>
    <row r="318" spans="1:9" x14ac:dyDescent="0.45">
      <c r="A318">
        <v>21</v>
      </c>
      <c r="B318">
        <v>400</v>
      </c>
      <c r="C318">
        <v>48</v>
      </c>
      <c r="D318">
        <f t="shared" si="43"/>
        <v>400</v>
      </c>
      <c r="E318" t="str">
        <f t="shared" si="44"/>
        <v>20+</v>
      </c>
      <c r="F318" s="1">
        <f>INDEX('App-Click Conversion by Rank'!$K$12:$S$31,MATCH(E318,'App-Click Conversion by Rank'!$J$12:$J$31,0),MATCH(D318,'App-Click Conversion by Rank'!$K$11:$S$11,0))</f>
        <v>6.4196625091709463E-3</v>
      </c>
      <c r="G318" s="3">
        <f t="shared" si="45"/>
        <v>0.3081438004402054</v>
      </c>
      <c r="H318" s="5">
        <f t="shared" si="46"/>
        <v>6.4710198092443134</v>
      </c>
      <c r="I318">
        <f t="shared" si="47"/>
        <v>1008</v>
      </c>
    </row>
    <row r="319" spans="1:9" x14ac:dyDescent="0.45">
      <c r="A319">
        <v>34</v>
      </c>
      <c r="B319">
        <v>600</v>
      </c>
      <c r="C319">
        <v>30</v>
      </c>
      <c r="D319" t="str">
        <f t="shared" si="43"/>
        <v>501+</v>
      </c>
      <c r="E319" t="str">
        <f t="shared" si="44"/>
        <v>20+</v>
      </c>
      <c r="F319" s="1">
        <f>INDEX('App-Click Conversion by Rank'!$K$12:$S$31,MATCH(E319,'App-Click Conversion by Rank'!$J$12:$J$31,0),MATCH(D319,'App-Click Conversion by Rank'!$K$11:$S$11,0))</f>
        <v>5.9893958237873931E-3</v>
      </c>
      <c r="G319" s="3">
        <f t="shared" si="45"/>
        <v>0.17968187471362179</v>
      </c>
      <c r="H319" s="5">
        <f t="shared" si="46"/>
        <v>6.1091837402631413</v>
      </c>
      <c r="I319">
        <f t="shared" si="47"/>
        <v>1020</v>
      </c>
    </row>
    <row r="320" spans="1:9" x14ac:dyDescent="0.45">
      <c r="A320">
        <v>6</v>
      </c>
      <c r="B320">
        <v>300</v>
      </c>
      <c r="C320">
        <v>66</v>
      </c>
      <c r="D320">
        <f t="shared" si="43"/>
        <v>300</v>
      </c>
      <c r="E320">
        <f t="shared" si="44"/>
        <v>6</v>
      </c>
      <c r="F320" s="1">
        <f>INDEX('App-Click Conversion by Rank'!$K$12:$S$31,MATCH(E320,'App-Click Conversion by Rank'!$J$12:$J$31,0),MATCH(D320,'App-Click Conversion by Rank'!$K$11:$S$11,0))</f>
        <v>3.6284470246734396E-2</v>
      </c>
      <c r="G320" s="3">
        <f t="shared" si="45"/>
        <v>2.3947750362844702</v>
      </c>
      <c r="H320" s="5">
        <f t="shared" si="46"/>
        <v>14.368650217706822</v>
      </c>
      <c r="I320">
        <f t="shared" si="47"/>
        <v>396</v>
      </c>
    </row>
    <row r="321" spans="1:9" x14ac:dyDescent="0.45">
      <c r="A321">
        <v>14</v>
      </c>
      <c r="B321">
        <v>600</v>
      </c>
      <c r="C321">
        <v>27</v>
      </c>
      <c r="D321" t="str">
        <f t="shared" si="43"/>
        <v>501+</v>
      </c>
      <c r="E321">
        <f t="shared" si="44"/>
        <v>14</v>
      </c>
      <c r="F321" s="1">
        <f>INDEX('App-Click Conversion by Rank'!$K$12:$S$31,MATCH(E321,'App-Click Conversion by Rank'!$J$12:$J$31,0),MATCH(D321,'App-Click Conversion by Rank'!$K$11:$S$11,0))</f>
        <v>3.5937500000000002E-3</v>
      </c>
      <c r="G321" s="3">
        <f t="shared" si="45"/>
        <v>9.7031249999999999E-2</v>
      </c>
      <c r="H321" s="5">
        <f t="shared" si="46"/>
        <v>1.3584375</v>
      </c>
      <c r="I321">
        <f t="shared" si="47"/>
        <v>378</v>
      </c>
    </row>
    <row r="322" spans="1:9" x14ac:dyDescent="0.45">
      <c r="A322">
        <v>5</v>
      </c>
      <c r="B322">
        <v>550</v>
      </c>
      <c r="C322">
        <v>96</v>
      </c>
      <c r="D322" t="str">
        <f t="shared" si="43"/>
        <v>501+</v>
      </c>
      <c r="E322">
        <f t="shared" si="44"/>
        <v>5</v>
      </c>
      <c r="F322" s="1">
        <f>INDEX('App-Click Conversion by Rank'!$K$12:$S$31,MATCH(E322,'App-Click Conversion by Rank'!$J$12:$J$31,0),MATCH(D322,'App-Click Conversion by Rank'!$K$11:$S$11,0))</f>
        <v>2.0504113882721692E-2</v>
      </c>
      <c r="G322" s="3">
        <f t="shared" si="45"/>
        <v>1.9683949327412824</v>
      </c>
      <c r="H322" s="5">
        <f t="shared" si="46"/>
        <v>9.8419746637064129</v>
      </c>
      <c r="I322">
        <f t="shared" si="47"/>
        <v>480</v>
      </c>
    </row>
    <row r="323" spans="1:9" x14ac:dyDescent="0.45">
      <c r="A323">
        <v>19</v>
      </c>
      <c r="B323">
        <v>600</v>
      </c>
      <c r="C323">
        <v>23</v>
      </c>
      <c r="D323" t="str">
        <f t="shared" si="43"/>
        <v>501+</v>
      </c>
      <c r="E323">
        <f t="shared" si="44"/>
        <v>19</v>
      </c>
      <c r="F323" s="1">
        <f>INDEX('App-Click Conversion by Rank'!$K$12:$S$31,MATCH(E323,'App-Click Conversion by Rank'!$J$12:$J$31,0),MATCH(D323,'App-Click Conversion by Rank'!$K$11:$S$11,0))</f>
        <v>2.8030833917309038E-3</v>
      </c>
      <c r="G323" s="3">
        <f t="shared" si="45"/>
        <v>6.4470918009810793E-2</v>
      </c>
      <c r="H323" s="5">
        <f t="shared" si="46"/>
        <v>1.2249474421864051</v>
      </c>
      <c r="I323">
        <f t="shared" si="47"/>
        <v>437</v>
      </c>
    </row>
    <row r="324" spans="1:9" x14ac:dyDescent="0.45">
      <c r="A324">
        <v>2</v>
      </c>
      <c r="B324">
        <v>300</v>
      </c>
      <c r="C324">
        <v>43</v>
      </c>
      <c r="D324">
        <f t="shared" si="43"/>
        <v>300</v>
      </c>
      <c r="E324">
        <f t="shared" si="44"/>
        <v>2</v>
      </c>
      <c r="F324" s="1">
        <f>INDEX('App-Click Conversion by Rank'!$K$12:$S$31,MATCH(E324,'App-Click Conversion by Rank'!$J$12:$J$31,0),MATCH(D324,'App-Click Conversion by Rank'!$K$11:$S$11,0))</f>
        <v>0.11406010089932003</v>
      </c>
      <c r="G324" s="3">
        <f t="shared" si="45"/>
        <v>4.9045843386707615</v>
      </c>
      <c r="H324" s="5">
        <f t="shared" si="46"/>
        <v>9.809168677341523</v>
      </c>
      <c r="I324">
        <f t="shared" si="47"/>
        <v>86</v>
      </c>
    </row>
    <row r="325" spans="1:9" x14ac:dyDescent="0.45">
      <c r="A325">
        <v>23</v>
      </c>
      <c r="B325">
        <v>650</v>
      </c>
      <c r="C325">
        <v>5</v>
      </c>
      <c r="D325" t="str">
        <f t="shared" si="43"/>
        <v>501+</v>
      </c>
      <c r="E325" t="str">
        <f t="shared" si="44"/>
        <v>20+</v>
      </c>
      <c r="F325" s="1">
        <f>INDEX('App-Click Conversion by Rank'!$K$12:$S$31,MATCH(E325,'App-Click Conversion by Rank'!$J$12:$J$31,0),MATCH(D325,'App-Click Conversion by Rank'!$K$11:$S$11,0))</f>
        <v>5.9893958237873931E-3</v>
      </c>
      <c r="G325" s="3">
        <f t="shared" si="45"/>
        <v>2.9946979118936966E-2</v>
      </c>
      <c r="H325" s="5">
        <f t="shared" si="46"/>
        <v>0.68878051973555021</v>
      </c>
      <c r="I325">
        <f t="shared" si="47"/>
        <v>115</v>
      </c>
    </row>
    <row r="326" spans="1:9" x14ac:dyDescent="0.45">
      <c r="A326">
        <v>27</v>
      </c>
      <c r="B326">
        <v>400</v>
      </c>
      <c r="C326">
        <v>12</v>
      </c>
      <c r="D326">
        <f t="shared" si="43"/>
        <v>400</v>
      </c>
      <c r="E326" t="str">
        <f t="shared" si="44"/>
        <v>20+</v>
      </c>
      <c r="F326" s="1">
        <f>INDEX('App-Click Conversion by Rank'!$K$12:$S$31,MATCH(E326,'App-Click Conversion by Rank'!$J$12:$J$31,0),MATCH(D326,'App-Click Conversion by Rank'!$K$11:$S$11,0))</f>
        <v>6.4196625091709463E-3</v>
      </c>
      <c r="G326" s="3">
        <f t="shared" si="45"/>
        <v>7.7035950110051349E-2</v>
      </c>
      <c r="H326" s="5">
        <f t="shared" si="46"/>
        <v>2.0799706529713866</v>
      </c>
      <c r="I326">
        <f t="shared" si="47"/>
        <v>324</v>
      </c>
    </row>
    <row r="327" spans="1:9" x14ac:dyDescent="0.45">
      <c r="A327">
        <v>26</v>
      </c>
      <c r="B327">
        <v>600</v>
      </c>
      <c r="C327">
        <v>21</v>
      </c>
      <c r="D327" t="str">
        <f t="shared" si="43"/>
        <v>501+</v>
      </c>
      <c r="E327" t="str">
        <f t="shared" si="44"/>
        <v>20+</v>
      </c>
      <c r="F327" s="1">
        <f>INDEX('App-Click Conversion by Rank'!$K$12:$S$31,MATCH(E327,'App-Click Conversion by Rank'!$J$12:$J$31,0),MATCH(D327,'App-Click Conversion by Rank'!$K$11:$S$11,0))</f>
        <v>5.9893958237873931E-3</v>
      </c>
      <c r="G327" s="3">
        <f t="shared" si="45"/>
        <v>0.12577731229953526</v>
      </c>
      <c r="H327" s="5">
        <f t="shared" si="46"/>
        <v>3.270210119787917</v>
      </c>
      <c r="I327">
        <f t="shared" si="47"/>
        <v>546</v>
      </c>
    </row>
    <row r="328" spans="1:9" x14ac:dyDescent="0.45">
      <c r="A328">
        <v>1</v>
      </c>
      <c r="B328">
        <v>450</v>
      </c>
      <c r="C328">
        <v>13</v>
      </c>
      <c r="D328">
        <f t="shared" si="43"/>
        <v>450</v>
      </c>
      <c r="E328">
        <f t="shared" si="44"/>
        <v>1</v>
      </c>
      <c r="F328" s="1">
        <f>INDEX('App-Click Conversion by Rank'!$K$12:$S$31,MATCH(E328,'App-Click Conversion by Rank'!$J$12:$J$31,0),MATCH(D328,'App-Click Conversion by Rank'!$K$11:$S$11,0))</f>
        <v>0.15592720118052139</v>
      </c>
      <c r="G328" s="3">
        <f t="shared" si="45"/>
        <v>2.027053615346778</v>
      </c>
      <c r="H328" s="5">
        <f t="shared" si="46"/>
        <v>2.027053615346778</v>
      </c>
      <c r="I328">
        <f t="shared" si="47"/>
        <v>13</v>
      </c>
    </row>
    <row r="329" spans="1:9" x14ac:dyDescent="0.45">
      <c r="A329">
        <v>26</v>
      </c>
      <c r="B329">
        <v>650</v>
      </c>
      <c r="C329">
        <v>1</v>
      </c>
      <c r="D329" t="str">
        <f t="shared" si="43"/>
        <v>501+</v>
      </c>
      <c r="E329" t="str">
        <f t="shared" si="44"/>
        <v>20+</v>
      </c>
      <c r="F329" s="1">
        <f>INDEX('App-Click Conversion by Rank'!$K$12:$S$31,MATCH(E329,'App-Click Conversion by Rank'!$J$12:$J$31,0),MATCH(D329,'App-Click Conversion by Rank'!$K$11:$S$11,0))</f>
        <v>5.9893958237873931E-3</v>
      </c>
      <c r="G329" s="3">
        <f t="shared" si="45"/>
        <v>5.9893958237873931E-3</v>
      </c>
      <c r="H329" s="5">
        <f t="shared" si="46"/>
        <v>0.15572429141847222</v>
      </c>
      <c r="I329">
        <f t="shared" si="47"/>
        <v>26</v>
      </c>
    </row>
    <row r="330" spans="1:9" x14ac:dyDescent="0.45">
      <c r="A330">
        <v>14</v>
      </c>
      <c r="B330">
        <v>650</v>
      </c>
      <c r="C330">
        <v>7</v>
      </c>
      <c r="D330" t="str">
        <f t="shared" si="43"/>
        <v>501+</v>
      </c>
      <c r="E330">
        <f t="shared" si="44"/>
        <v>14</v>
      </c>
      <c r="F330" s="1">
        <f>INDEX('App-Click Conversion by Rank'!$K$12:$S$31,MATCH(E330,'App-Click Conversion by Rank'!$J$12:$J$31,0),MATCH(D330,'App-Click Conversion by Rank'!$K$11:$S$11,0))</f>
        <v>3.5937500000000002E-3</v>
      </c>
      <c r="G330" s="3">
        <f t="shared" si="45"/>
        <v>2.5156250000000002E-2</v>
      </c>
      <c r="H330" s="5">
        <f t="shared" si="46"/>
        <v>0.35218750000000004</v>
      </c>
      <c r="I330">
        <f t="shared" si="47"/>
        <v>98</v>
      </c>
    </row>
    <row r="331" spans="1:9" x14ac:dyDescent="0.45">
      <c r="A331">
        <v>18</v>
      </c>
      <c r="B331">
        <v>250</v>
      </c>
      <c r="C331">
        <v>1</v>
      </c>
      <c r="D331">
        <f t="shared" si="43"/>
        <v>250</v>
      </c>
      <c r="E331">
        <f t="shared" si="44"/>
        <v>18</v>
      </c>
      <c r="F331" s="1">
        <f>INDEX('App-Click Conversion by Rank'!$K$12:$S$31,MATCH(E331,'App-Click Conversion by Rank'!$J$12:$J$31,0),MATCH(D331,'App-Click Conversion by Rank'!$K$11:$S$11,0))</f>
        <v>6.1728395061728392E-3</v>
      </c>
      <c r="G331" s="3">
        <f t="shared" si="45"/>
        <v>6.1728395061728392E-3</v>
      </c>
      <c r="H331" s="5">
        <f t="shared" si="46"/>
        <v>0.1111111111111111</v>
      </c>
      <c r="I331">
        <f t="shared" si="47"/>
        <v>18</v>
      </c>
    </row>
    <row r="332" spans="1:9" x14ac:dyDescent="0.45">
      <c r="A332">
        <v>32</v>
      </c>
      <c r="B332">
        <v>400</v>
      </c>
      <c r="C332">
        <v>5</v>
      </c>
      <c r="D332">
        <f t="shared" si="43"/>
        <v>400</v>
      </c>
      <c r="E332" t="str">
        <f t="shared" si="44"/>
        <v>20+</v>
      </c>
      <c r="F332" s="1">
        <f>INDEX('App-Click Conversion by Rank'!$K$12:$S$31,MATCH(E332,'App-Click Conversion by Rank'!$J$12:$J$31,0),MATCH(D332,'App-Click Conversion by Rank'!$K$11:$S$11,0))</f>
        <v>6.4196625091709463E-3</v>
      </c>
      <c r="G332" s="3">
        <f t="shared" si="45"/>
        <v>3.2098312545854733E-2</v>
      </c>
      <c r="H332" s="5">
        <f t="shared" si="46"/>
        <v>1.0271460014673515</v>
      </c>
      <c r="I332">
        <f t="shared" si="47"/>
        <v>160</v>
      </c>
    </row>
    <row r="333" spans="1:9" x14ac:dyDescent="0.45">
      <c r="A333">
        <v>36</v>
      </c>
      <c r="B333">
        <v>450</v>
      </c>
      <c r="C333">
        <v>4</v>
      </c>
      <c r="D333">
        <f t="shared" si="43"/>
        <v>450</v>
      </c>
      <c r="E333" t="str">
        <f t="shared" si="44"/>
        <v>20+</v>
      </c>
      <c r="F333" s="1">
        <f>INDEX('App-Click Conversion by Rank'!$K$12:$S$31,MATCH(E333,'App-Click Conversion by Rank'!$J$12:$J$31,0),MATCH(D333,'App-Click Conversion by Rank'!$K$11:$S$11,0))</f>
        <v>5.6022408963585435E-3</v>
      </c>
      <c r="G333" s="3">
        <f t="shared" si="45"/>
        <v>2.2408963585434174E-2</v>
      </c>
      <c r="H333" s="5">
        <f t="shared" si="46"/>
        <v>0.80672268907563027</v>
      </c>
      <c r="I333">
        <f t="shared" si="47"/>
        <v>144</v>
      </c>
    </row>
    <row r="334" spans="1:9" x14ac:dyDescent="0.45">
      <c r="A334">
        <v>13</v>
      </c>
      <c r="B334">
        <v>250</v>
      </c>
      <c r="C334">
        <v>8</v>
      </c>
      <c r="D334">
        <f t="shared" si="43"/>
        <v>250</v>
      </c>
      <c r="E334">
        <f t="shared" si="44"/>
        <v>13</v>
      </c>
      <c r="F334" s="1">
        <f>INDEX('App-Click Conversion by Rank'!$K$12:$S$31,MATCH(E334,'App-Click Conversion by Rank'!$J$12:$J$31,0),MATCH(D334,'App-Click Conversion by Rank'!$K$11:$S$11,0))</f>
        <v>1.201923076923077E-2</v>
      </c>
      <c r="G334" s="3">
        <f t="shared" si="45"/>
        <v>9.6153846153846159E-2</v>
      </c>
      <c r="H334" s="5">
        <f t="shared" si="46"/>
        <v>1.25</v>
      </c>
      <c r="I334">
        <f t="shared" si="47"/>
        <v>104</v>
      </c>
    </row>
    <row r="335" spans="1:9" x14ac:dyDescent="0.45">
      <c r="A335">
        <v>11</v>
      </c>
      <c r="B335">
        <v>150</v>
      </c>
      <c r="C335">
        <v>1</v>
      </c>
      <c r="D335" t="str">
        <f t="shared" si="43"/>
        <v>&lt;=150</v>
      </c>
      <c r="E335">
        <f t="shared" si="44"/>
        <v>11</v>
      </c>
      <c r="F335" s="1">
        <f>INDEX('App-Click Conversion by Rank'!$K$12:$S$31,MATCH(E335,'App-Click Conversion by Rank'!$J$12:$J$31,0),MATCH(D335,'App-Click Conversion by Rank'!$K$11:$S$11,0))</f>
        <v>1.9230769230769232E-2</v>
      </c>
      <c r="G335" s="3">
        <f t="shared" si="45"/>
        <v>1.9230769230769232E-2</v>
      </c>
      <c r="H335" s="5">
        <f t="shared" si="46"/>
        <v>0.21153846153846156</v>
      </c>
      <c r="I335">
        <f t="shared" si="47"/>
        <v>11</v>
      </c>
    </row>
    <row r="336" spans="1:9" x14ac:dyDescent="0.45">
      <c r="A336">
        <v>10</v>
      </c>
      <c r="B336">
        <v>200</v>
      </c>
      <c r="C336">
        <v>3</v>
      </c>
      <c r="D336">
        <f t="shared" si="43"/>
        <v>200</v>
      </c>
      <c r="E336">
        <f t="shared" si="44"/>
        <v>10</v>
      </c>
      <c r="F336" s="1">
        <f>INDEX('App-Click Conversion by Rank'!$K$12:$S$31,MATCH(E336,'App-Click Conversion by Rank'!$J$12:$J$31,0),MATCH(D336,'App-Click Conversion by Rank'!$K$11:$S$11,0))</f>
        <v>1.7361111111111112E-2</v>
      </c>
      <c r="G336" s="3">
        <f t="shared" si="45"/>
        <v>5.2083333333333336E-2</v>
      </c>
      <c r="H336" s="5">
        <f t="shared" si="46"/>
        <v>0.52083333333333337</v>
      </c>
      <c r="I336">
        <f t="shared" si="47"/>
        <v>30</v>
      </c>
    </row>
    <row r="337" spans="1:9" x14ac:dyDescent="0.45">
      <c r="A337">
        <v>3</v>
      </c>
      <c r="B337">
        <v>100</v>
      </c>
      <c r="C337">
        <v>1</v>
      </c>
      <c r="D337" t="str">
        <f t="shared" si="43"/>
        <v>&lt;=150</v>
      </c>
      <c r="E337">
        <f t="shared" si="44"/>
        <v>3</v>
      </c>
      <c r="F337" s="1">
        <f>INDEX('App-Click Conversion by Rank'!$K$12:$S$31,MATCH(E337,'App-Click Conversion by Rank'!$J$12:$J$31,0),MATCH(D337,'App-Click Conversion by Rank'!$K$11:$S$11,0))</f>
        <v>9.8360655737704916E-2</v>
      </c>
      <c r="G337" s="3">
        <f t="shared" si="45"/>
        <v>9.8360655737704916E-2</v>
      </c>
      <c r="H337" s="5">
        <f t="shared" si="46"/>
        <v>0.29508196721311475</v>
      </c>
      <c r="I337">
        <f t="shared" si="47"/>
        <v>3</v>
      </c>
    </row>
    <row r="338" spans="1:9" x14ac:dyDescent="0.45">
      <c r="G338" s="3"/>
      <c r="H338" s="5"/>
    </row>
    <row r="339" spans="1:9" x14ac:dyDescent="0.45">
      <c r="G339" s="3"/>
      <c r="H339" s="5"/>
    </row>
    <row r="340" spans="1:9" x14ac:dyDescent="0.45">
      <c r="G340" s="3"/>
      <c r="H340" s="5"/>
    </row>
    <row r="341" spans="1:9" x14ac:dyDescent="0.45">
      <c r="G341" s="3"/>
      <c r="H341" s="5"/>
    </row>
    <row r="342" spans="1:9" x14ac:dyDescent="0.45">
      <c r="G342" s="3"/>
      <c r="H342" s="5"/>
    </row>
    <row r="343" spans="1:9" x14ac:dyDescent="0.45">
      <c r="G343" s="3"/>
      <c r="H343" s="5"/>
    </row>
    <row r="344" spans="1:9" x14ac:dyDescent="0.45">
      <c r="G344" s="3"/>
      <c r="H344" s="5"/>
    </row>
    <row r="345" spans="1:9" x14ac:dyDescent="0.45">
      <c r="G345" s="3"/>
      <c r="H345" s="5"/>
    </row>
    <row r="346" spans="1:9" x14ac:dyDescent="0.45">
      <c r="G346" s="3"/>
      <c r="H346" s="5"/>
    </row>
    <row r="347" spans="1:9" x14ac:dyDescent="0.45">
      <c r="G347" s="3"/>
      <c r="H347" s="5"/>
    </row>
    <row r="348" spans="1:9" x14ac:dyDescent="0.45">
      <c r="G348" s="3"/>
      <c r="H348" s="5"/>
    </row>
    <row r="349" spans="1:9" x14ac:dyDescent="0.45">
      <c r="G349" s="3"/>
      <c r="H349" s="5"/>
    </row>
    <row r="350" spans="1:9" x14ac:dyDescent="0.45">
      <c r="G350" s="3"/>
      <c r="H350" s="5"/>
    </row>
    <row r="351" spans="1:9" x14ac:dyDescent="0.45">
      <c r="G351" s="3"/>
      <c r="H351" s="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91330-0C48-4586-B525-36C0D0907010}">
  <dimension ref="A1:I351"/>
  <sheetViews>
    <sheetView topLeftCell="A271" workbookViewId="0">
      <selection activeCell="C271" sqref="C1:C1048576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11</v>
      </c>
      <c r="B2">
        <v>400</v>
      </c>
      <c r="C2">
        <v>170</v>
      </c>
      <c r="D2">
        <f>IF(B2&lt;=150,"&lt;=150",IF(B2&gt;500,"501+",B2))</f>
        <v>400</v>
      </c>
      <c r="E2">
        <f>IF(A2&gt;=20,"20+",A2)</f>
        <v>11</v>
      </c>
      <c r="F2" s="1">
        <f>INDEX('App-Click Conversion by Rank'!$K$12:$S$31,MATCH(E2,'App-Click Conversion by Rank'!$J$12:$J$31,0),MATCH(D2,'App-Click Conversion by Rank'!$K$11:$S$11,0))</f>
        <v>8.6912065439672809E-3</v>
      </c>
      <c r="G2" s="3">
        <f>C2*F2</f>
        <v>1.4775051124744378</v>
      </c>
      <c r="H2" s="5">
        <f>G2*A2</f>
        <v>16.252556237218815</v>
      </c>
      <c r="I2">
        <f>C2*A2</f>
        <v>1870</v>
      </c>
    </row>
    <row r="3" spans="1:9" x14ac:dyDescent="0.45">
      <c r="A3">
        <v>10</v>
      </c>
      <c r="B3">
        <v>500</v>
      </c>
      <c r="C3">
        <v>773</v>
      </c>
      <c r="D3">
        <f t="shared" ref="D3:D66" si="0">IF(B3&lt;=150,"&lt;=150",IF(B3&gt;500,"501+",B3))</f>
        <v>500</v>
      </c>
      <c r="E3">
        <f t="shared" ref="E3:E66" si="1">IF(A3&gt;=20,"20+",A3)</f>
        <v>10</v>
      </c>
      <c r="F3" s="1">
        <f>INDEX('App-Click Conversion by Rank'!$K$12:$S$31,MATCH(E3,'App-Click Conversion by Rank'!$J$12:$J$31,0),MATCH(D3,'App-Click Conversion by Rank'!$K$11:$S$11,0))</f>
        <v>8.179029876178575E-3</v>
      </c>
      <c r="G3" s="3">
        <f t="shared" ref="G3:G66" si="2">C3*F3</f>
        <v>6.322390094286038</v>
      </c>
      <c r="H3" s="5">
        <f t="shared" ref="H3:H66" si="3">G3*A3</f>
        <v>63.223900942860382</v>
      </c>
      <c r="I3">
        <f t="shared" ref="I3:I66" si="4">C3*A3</f>
        <v>7730</v>
      </c>
    </row>
    <row r="4" spans="1:9" x14ac:dyDescent="0.45">
      <c r="A4">
        <v>27</v>
      </c>
      <c r="B4">
        <v>550</v>
      </c>
      <c r="C4">
        <v>121</v>
      </c>
      <c r="D4" t="str">
        <f t="shared" si="0"/>
        <v>501+</v>
      </c>
      <c r="E4" t="str">
        <f t="shared" si="1"/>
        <v>20+</v>
      </c>
      <c r="F4" s="1">
        <f>INDEX('App-Click Conversion by Rank'!$K$12:$S$31,MATCH(E4,'App-Click Conversion by Rank'!$J$12:$J$31,0),MATCH(D4,'App-Click Conversion by Rank'!$K$11:$S$11,0))</f>
        <v>5.9893958237873931E-3</v>
      </c>
      <c r="G4" s="3">
        <f t="shared" si="2"/>
        <v>0.7247168946782746</v>
      </c>
      <c r="H4" s="5">
        <f t="shared" si="3"/>
        <v>19.567356156313416</v>
      </c>
      <c r="I4">
        <f t="shared" si="4"/>
        <v>3267</v>
      </c>
    </row>
    <row r="5" spans="1:9" x14ac:dyDescent="0.45">
      <c r="A5">
        <v>32</v>
      </c>
      <c r="B5">
        <v>550</v>
      </c>
      <c r="C5">
        <v>67</v>
      </c>
      <c r="D5" t="str">
        <f t="shared" si="0"/>
        <v>501+</v>
      </c>
      <c r="E5" t="str">
        <f t="shared" si="1"/>
        <v>20+</v>
      </c>
      <c r="F5" s="1">
        <f>INDEX('App-Click Conversion by Rank'!$K$12:$S$31,MATCH(E5,'App-Click Conversion by Rank'!$J$12:$J$31,0),MATCH(D5,'App-Click Conversion by Rank'!$K$11:$S$11,0))</f>
        <v>5.9893958237873931E-3</v>
      </c>
      <c r="G5" s="3">
        <f t="shared" si="2"/>
        <v>0.40128952019375536</v>
      </c>
      <c r="H5" s="5">
        <f t="shared" si="3"/>
        <v>12.841264646200171</v>
      </c>
      <c r="I5">
        <f t="shared" si="4"/>
        <v>2144</v>
      </c>
    </row>
    <row r="6" spans="1:9" x14ac:dyDescent="0.45">
      <c r="A6">
        <v>17</v>
      </c>
      <c r="B6">
        <v>550</v>
      </c>
      <c r="C6">
        <v>65</v>
      </c>
      <c r="D6" t="str">
        <f t="shared" si="0"/>
        <v>501+</v>
      </c>
      <c r="E6">
        <f t="shared" si="1"/>
        <v>17</v>
      </c>
      <c r="F6" s="1">
        <f>INDEX('App-Click Conversion by Rank'!$K$12:$S$31,MATCH(E6,'App-Click Conversion by Rank'!$J$12:$J$31,0),MATCH(D6,'App-Click Conversion by Rank'!$K$11:$S$11,0))</f>
        <v>2.660901380342591E-3</v>
      </c>
      <c r="G6" s="3">
        <f t="shared" si="2"/>
        <v>0.17295858972226841</v>
      </c>
      <c r="H6" s="5">
        <f t="shared" si="3"/>
        <v>2.9402960252785628</v>
      </c>
      <c r="I6">
        <f t="shared" si="4"/>
        <v>1105</v>
      </c>
    </row>
    <row r="7" spans="1:9" x14ac:dyDescent="0.45">
      <c r="A7">
        <v>10</v>
      </c>
      <c r="B7">
        <v>450</v>
      </c>
      <c r="C7">
        <v>353</v>
      </c>
      <c r="D7">
        <f t="shared" si="0"/>
        <v>450</v>
      </c>
      <c r="E7">
        <f t="shared" si="1"/>
        <v>10</v>
      </c>
      <c r="F7" s="1">
        <f>INDEX('App-Click Conversion by Rank'!$K$12:$S$31,MATCH(E7,'App-Click Conversion by Rank'!$J$12:$J$31,0),MATCH(D7,'App-Click Conversion by Rank'!$K$11:$S$11,0))</f>
        <v>8.6499845535990116E-3</v>
      </c>
      <c r="G7" s="3">
        <f t="shared" si="2"/>
        <v>3.053444547420451</v>
      </c>
      <c r="H7" s="5">
        <f t="shared" si="3"/>
        <v>30.53444547420451</v>
      </c>
      <c r="I7">
        <f t="shared" si="4"/>
        <v>3530</v>
      </c>
    </row>
    <row r="8" spans="1:9" x14ac:dyDescent="0.45">
      <c r="A8">
        <v>3</v>
      </c>
      <c r="B8">
        <v>300</v>
      </c>
      <c r="C8">
        <v>274</v>
      </c>
      <c r="D8">
        <f t="shared" si="0"/>
        <v>300</v>
      </c>
      <c r="E8">
        <f t="shared" si="1"/>
        <v>3</v>
      </c>
      <c r="F8" s="1">
        <f>INDEX('App-Click Conversion by Rank'!$K$12:$S$31,MATCH(E8,'App-Click Conversion by Rank'!$J$12:$J$31,0),MATCH(D8,'App-Click Conversion by Rank'!$K$11:$S$11,0))</f>
        <v>7.8236914600550961E-2</v>
      </c>
      <c r="G8" s="3">
        <f t="shared" si="2"/>
        <v>21.436914600550963</v>
      </c>
      <c r="H8" s="5">
        <f t="shared" si="3"/>
        <v>64.31074380165289</v>
      </c>
      <c r="I8">
        <f t="shared" si="4"/>
        <v>822</v>
      </c>
    </row>
    <row r="9" spans="1:9" x14ac:dyDescent="0.45">
      <c r="A9">
        <v>13</v>
      </c>
      <c r="B9">
        <v>350</v>
      </c>
      <c r="C9">
        <v>37</v>
      </c>
      <c r="D9">
        <f t="shared" si="0"/>
        <v>350</v>
      </c>
      <c r="E9">
        <f t="shared" si="1"/>
        <v>13</v>
      </c>
      <c r="F9" s="1">
        <f>INDEX('App-Click Conversion by Rank'!$K$12:$S$31,MATCH(E9,'App-Click Conversion by Rank'!$J$12:$J$31,0),MATCH(D9,'App-Click Conversion by Rank'!$K$11:$S$11,0))</f>
        <v>3.7654653039268424E-3</v>
      </c>
      <c r="G9" s="3">
        <f t="shared" si="2"/>
        <v>0.13932221624529317</v>
      </c>
      <c r="H9" s="5">
        <f t="shared" si="3"/>
        <v>1.8111888111888113</v>
      </c>
      <c r="I9">
        <f t="shared" si="4"/>
        <v>481</v>
      </c>
    </row>
    <row r="10" spans="1:9" x14ac:dyDescent="0.45">
      <c r="A10">
        <v>6</v>
      </c>
      <c r="B10">
        <v>600</v>
      </c>
      <c r="C10">
        <v>10</v>
      </c>
      <c r="D10" t="str">
        <f t="shared" si="0"/>
        <v>501+</v>
      </c>
      <c r="E10">
        <f t="shared" si="1"/>
        <v>6</v>
      </c>
      <c r="F10" s="1">
        <f>INDEX('App-Click Conversion by Rank'!$K$12:$S$31,MATCH(E10,'App-Click Conversion by Rank'!$J$12:$J$31,0),MATCH(D10,'App-Click Conversion by Rank'!$K$11:$S$11,0))</f>
        <v>2.4383744170552963E-2</v>
      </c>
      <c r="G10" s="3">
        <f t="shared" si="2"/>
        <v>0.24383744170552962</v>
      </c>
      <c r="H10" s="5">
        <f t="shared" si="3"/>
        <v>1.4630246502331778</v>
      </c>
      <c r="I10">
        <f t="shared" si="4"/>
        <v>60</v>
      </c>
    </row>
    <row r="11" spans="1:9" x14ac:dyDescent="0.45">
      <c r="A11">
        <v>10</v>
      </c>
      <c r="B11">
        <v>300</v>
      </c>
      <c r="C11">
        <v>17</v>
      </c>
      <c r="D11">
        <f t="shared" si="0"/>
        <v>300</v>
      </c>
      <c r="E11">
        <f t="shared" si="1"/>
        <v>10</v>
      </c>
      <c r="F11" s="1">
        <f>INDEX('App-Click Conversion by Rank'!$K$12:$S$31,MATCH(E11,'App-Click Conversion by Rank'!$J$12:$J$31,0),MATCH(D11,'App-Click Conversion by Rank'!$K$11:$S$11,0))</f>
        <v>1.560758082497213E-2</v>
      </c>
      <c r="G11" s="3">
        <f t="shared" si="2"/>
        <v>0.26532887402452621</v>
      </c>
      <c r="H11" s="5">
        <f t="shared" si="3"/>
        <v>2.6532887402452623</v>
      </c>
      <c r="I11">
        <f t="shared" si="4"/>
        <v>170</v>
      </c>
    </row>
    <row r="12" spans="1:9" x14ac:dyDescent="0.45">
      <c r="A12">
        <v>21</v>
      </c>
      <c r="B12">
        <v>600</v>
      </c>
      <c r="C12">
        <v>13</v>
      </c>
      <c r="D12" t="str">
        <f t="shared" si="0"/>
        <v>501+</v>
      </c>
      <c r="E12" t="str">
        <f t="shared" si="1"/>
        <v>20+</v>
      </c>
      <c r="F12" s="1">
        <f>INDEX('App-Click Conversion by Rank'!$K$12:$S$31,MATCH(E12,'App-Click Conversion by Rank'!$J$12:$J$31,0),MATCH(D12,'App-Click Conversion by Rank'!$K$11:$S$11,0))</f>
        <v>5.9893958237873931E-3</v>
      </c>
      <c r="G12" s="3">
        <f t="shared" si="2"/>
        <v>7.7862145709236108E-2</v>
      </c>
      <c r="H12" s="5">
        <f t="shared" si="3"/>
        <v>1.6351050598939583</v>
      </c>
      <c r="I12">
        <f t="shared" si="4"/>
        <v>273</v>
      </c>
    </row>
    <row r="13" spans="1:9" x14ac:dyDescent="0.45">
      <c r="A13">
        <v>34</v>
      </c>
      <c r="B13">
        <v>500</v>
      </c>
      <c r="C13">
        <v>8</v>
      </c>
      <c r="D13">
        <f t="shared" si="0"/>
        <v>500</v>
      </c>
      <c r="E13" t="str">
        <f t="shared" si="1"/>
        <v>20+</v>
      </c>
      <c r="F13" s="1">
        <f>INDEX('App-Click Conversion by Rank'!$K$12:$S$31,MATCH(E13,'App-Click Conversion by Rank'!$J$12:$J$31,0),MATCH(D13,'App-Click Conversion by Rank'!$K$11:$S$11,0))</f>
        <v>5.1121544079290558E-3</v>
      </c>
      <c r="G13" s="3">
        <f t="shared" si="2"/>
        <v>4.0897235263432447E-2</v>
      </c>
      <c r="H13" s="5">
        <f t="shared" si="3"/>
        <v>1.3905059989567032</v>
      </c>
      <c r="I13">
        <f t="shared" si="4"/>
        <v>272</v>
      </c>
    </row>
    <row r="14" spans="1:9" x14ac:dyDescent="0.45">
      <c r="A14">
        <v>40</v>
      </c>
      <c r="B14">
        <v>550</v>
      </c>
      <c r="C14">
        <v>4</v>
      </c>
      <c r="D14" t="str">
        <f t="shared" si="0"/>
        <v>501+</v>
      </c>
      <c r="E14" t="str">
        <f t="shared" si="1"/>
        <v>20+</v>
      </c>
      <c r="F14" s="1">
        <f>INDEX('App-Click Conversion by Rank'!$K$12:$S$31,MATCH(E14,'App-Click Conversion by Rank'!$J$12:$J$31,0),MATCH(D14,'App-Click Conversion by Rank'!$K$11:$S$11,0))</f>
        <v>5.9893958237873931E-3</v>
      </c>
      <c r="G14" s="3">
        <f t="shared" si="2"/>
        <v>2.3957583295149572E-2</v>
      </c>
      <c r="H14" s="5">
        <f t="shared" si="3"/>
        <v>0.95830333180598293</v>
      </c>
      <c r="I14">
        <f t="shared" si="4"/>
        <v>160</v>
      </c>
    </row>
    <row r="15" spans="1:9" x14ac:dyDescent="0.45">
      <c r="A15">
        <v>21</v>
      </c>
      <c r="B15">
        <v>650</v>
      </c>
      <c r="C15">
        <v>2</v>
      </c>
      <c r="D15" t="str">
        <f t="shared" si="0"/>
        <v>501+</v>
      </c>
      <c r="E15" t="str">
        <f t="shared" si="1"/>
        <v>20+</v>
      </c>
      <c r="F15" s="1">
        <f>INDEX('App-Click Conversion by Rank'!$K$12:$S$31,MATCH(E15,'App-Click Conversion by Rank'!$J$12:$J$31,0),MATCH(D15,'App-Click Conversion by Rank'!$K$11:$S$11,0))</f>
        <v>5.9893958237873931E-3</v>
      </c>
      <c r="G15" s="3">
        <f t="shared" si="2"/>
        <v>1.1978791647574786E-2</v>
      </c>
      <c r="H15" s="5">
        <f t="shared" si="3"/>
        <v>0.25155462459907052</v>
      </c>
      <c r="I15">
        <f t="shared" si="4"/>
        <v>42</v>
      </c>
    </row>
    <row r="16" spans="1:9" x14ac:dyDescent="0.45">
      <c r="A16">
        <v>17</v>
      </c>
      <c r="B16">
        <v>650</v>
      </c>
      <c r="C16">
        <v>1</v>
      </c>
      <c r="D16" t="str">
        <f t="shared" si="0"/>
        <v>501+</v>
      </c>
      <c r="E16">
        <f t="shared" si="1"/>
        <v>17</v>
      </c>
      <c r="F16" s="1">
        <f>INDEX('App-Click Conversion by Rank'!$K$12:$S$31,MATCH(E16,'App-Click Conversion by Rank'!$J$12:$J$31,0),MATCH(D16,'App-Click Conversion by Rank'!$K$11:$S$11,0))</f>
        <v>2.660901380342591E-3</v>
      </c>
      <c r="G16" s="3">
        <f t="shared" si="2"/>
        <v>2.660901380342591E-3</v>
      </c>
      <c r="H16" s="5">
        <f t="shared" si="3"/>
        <v>4.5235323465824047E-2</v>
      </c>
      <c r="I16">
        <f t="shared" si="4"/>
        <v>17</v>
      </c>
    </row>
    <row r="17" spans="1:9" x14ac:dyDescent="0.45">
      <c r="A17">
        <v>14</v>
      </c>
      <c r="B17">
        <v>250</v>
      </c>
      <c r="C17">
        <v>2</v>
      </c>
      <c r="D17">
        <f t="shared" si="0"/>
        <v>250</v>
      </c>
      <c r="E17">
        <f t="shared" si="1"/>
        <v>14</v>
      </c>
      <c r="F17" s="1">
        <f>INDEX('App-Click Conversion by Rank'!$K$12:$S$31,MATCH(E17,'App-Click Conversion by Rank'!$J$12:$J$31,0),MATCH(D17,'App-Click Conversion by Rank'!$K$11:$S$11,0))</f>
        <v>1.7751479289940829E-2</v>
      </c>
      <c r="G17" s="3">
        <f t="shared" si="2"/>
        <v>3.5502958579881658E-2</v>
      </c>
      <c r="H17" s="5">
        <f t="shared" si="3"/>
        <v>0.49704142011834318</v>
      </c>
      <c r="I17">
        <f t="shared" si="4"/>
        <v>28</v>
      </c>
    </row>
    <row r="18" spans="1:9" x14ac:dyDescent="0.45">
      <c r="A18">
        <v>33</v>
      </c>
      <c r="B18">
        <v>400</v>
      </c>
      <c r="C18">
        <v>2</v>
      </c>
      <c r="D18">
        <f t="shared" si="0"/>
        <v>400</v>
      </c>
      <c r="E18" t="str">
        <f t="shared" si="1"/>
        <v>20+</v>
      </c>
      <c r="F18" s="1">
        <f>INDEX('App-Click Conversion by Rank'!$K$12:$S$31,MATCH(E18,'App-Click Conversion by Rank'!$J$12:$J$31,0),MATCH(D18,'App-Click Conversion by Rank'!$K$11:$S$11,0))</f>
        <v>6.4196625091709463E-3</v>
      </c>
      <c r="G18" s="3">
        <f t="shared" si="2"/>
        <v>1.2839325018341893E-2</v>
      </c>
      <c r="H18" s="5">
        <f t="shared" si="3"/>
        <v>0.42369772560528246</v>
      </c>
      <c r="I18">
        <f t="shared" si="4"/>
        <v>66</v>
      </c>
    </row>
    <row r="19" spans="1:9" x14ac:dyDescent="0.45">
      <c r="A19">
        <v>2</v>
      </c>
      <c r="B19">
        <v>600</v>
      </c>
      <c r="C19">
        <v>3</v>
      </c>
      <c r="D19" t="str">
        <f t="shared" si="0"/>
        <v>501+</v>
      </c>
      <c r="E19">
        <f t="shared" si="1"/>
        <v>2</v>
      </c>
      <c r="F19" s="1">
        <f>INDEX('App-Click Conversion by Rank'!$K$12:$S$31,MATCH(E19,'App-Click Conversion by Rank'!$J$12:$J$31,0),MATCH(D19,'App-Click Conversion by Rank'!$K$11:$S$11,0))</f>
        <v>7.5343344885123856E-2</v>
      </c>
      <c r="G19" s="3">
        <f t="shared" si="2"/>
        <v>0.22603003465537158</v>
      </c>
      <c r="H19" s="5">
        <f t="shared" si="3"/>
        <v>0.45206006931074316</v>
      </c>
      <c r="I19">
        <f t="shared" si="4"/>
        <v>6</v>
      </c>
    </row>
    <row r="20" spans="1:9" x14ac:dyDescent="0.45">
      <c r="A20">
        <v>20</v>
      </c>
      <c r="B20">
        <v>550</v>
      </c>
      <c r="C20">
        <v>115</v>
      </c>
      <c r="D20" t="str">
        <f t="shared" si="0"/>
        <v>501+</v>
      </c>
      <c r="E20" t="str">
        <f t="shared" si="1"/>
        <v>20+</v>
      </c>
      <c r="F20" s="1">
        <f>INDEX('App-Click Conversion by Rank'!$K$12:$S$31,MATCH(E20,'App-Click Conversion by Rank'!$J$12:$J$31,0),MATCH(D20,'App-Click Conversion by Rank'!$K$11:$S$11,0))</f>
        <v>5.9893958237873931E-3</v>
      </c>
      <c r="G20" s="3">
        <f t="shared" si="2"/>
        <v>0.68878051973555021</v>
      </c>
      <c r="H20" s="5">
        <f t="shared" si="3"/>
        <v>13.775610394711004</v>
      </c>
      <c r="I20">
        <f t="shared" si="4"/>
        <v>2300</v>
      </c>
    </row>
    <row r="21" spans="1:9" x14ac:dyDescent="0.45">
      <c r="A21">
        <v>12</v>
      </c>
      <c r="B21">
        <v>400</v>
      </c>
      <c r="C21">
        <v>164</v>
      </c>
      <c r="D21">
        <f t="shared" si="0"/>
        <v>400</v>
      </c>
      <c r="E21">
        <f t="shared" si="1"/>
        <v>12</v>
      </c>
      <c r="F21" s="1">
        <f>INDEX('App-Click Conversion by Rank'!$K$12:$S$31,MATCH(E21,'App-Click Conversion by Rank'!$J$12:$J$31,0),MATCH(D21,'App-Click Conversion by Rank'!$K$11:$S$11,0))</f>
        <v>6.954102920723227E-3</v>
      </c>
      <c r="G21" s="3">
        <f t="shared" si="2"/>
        <v>1.1404728789986092</v>
      </c>
      <c r="H21" s="5">
        <f t="shared" si="3"/>
        <v>13.685674547983311</v>
      </c>
      <c r="I21">
        <f t="shared" si="4"/>
        <v>1968</v>
      </c>
    </row>
    <row r="22" spans="1:9" x14ac:dyDescent="0.45">
      <c r="A22">
        <v>30</v>
      </c>
      <c r="B22">
        <v>650</v>
      </c>
      <c r="C22">
        <v>6</v>
      </c>
      <c r="D22" t="str">
        <f t="shared" si="0"/>
        <v>501+</v>
      </c>
      <c r="E22" t="str">
        <f t="shared" si="1"/>
        <v>20+</v>
      </c>
      <c r="F22" s="1">
        <f>INDEX('App-Click Conversion by Rank'!$K$12:$S$31,MATCH(E22,'App-Click Conversion by Rank'!$J$12:$J$31,0),MATCH(D22,'App-Click Conversion by Rank'!$K$11:$S$11,0))</f>
        <v>5.9893958237873931E-3</v>
      </c>
      <c r="G22" s="3">
        <f t="shared" si="2"/>
        <v>3.5936374942724357E-2</v>
      </c>
      <c r="H22" s="5">
        <f t="shared" si="3"/>
        <v>1.0780912482817306</v>
      </c>
      <c r="I22">
        <f t="shared" si="4"/>
        <v>180</v>
      </c>
    </row>
    <row r="23" spans="1:9" x14ac:dyDescent="0.45">
      <c r="A23">
        <v>20</v>
      </c>
      <c r="B23">
        <v>450</v>
      </c>
      <c r="C23">
        <v>49</v>
      </c>
      <c r="D23">
        <f t="shared" si="0"/>
        <v>450</v>
      </c>
      <c r="E23" t="str">
        <f t="shared" si="1"/>
        <v>20+</v>
      </c>
      <c r="F23" s="1">
        <f>INDEX('App-Click Conversion by Rank'!$K$12:$S$31,MATCH(E23,'App-Click Conversion by Rank'!$J$12:$J$31,0),MATCH(D23,'App-Click Conversion by Rank'!$K$11:$S$11,0))</f>
        <v>5.6022408963585435E-3</v>
      </c>
      <c r="G23" s="3">
        <f t="shared" si="2"/>
        <v>0.27450980392156865</v>
      </c>
      <c r="H23" s="5">
        <f t="shared" si="3"/>
        <v>5.4901960784313726</v>
      </c>
      <c r="I23">
        <f t="shared" si="4"/>
        <v>980</v>
      </c>
    </row>
    <row r="24" spans="1:9" x14ac:dyDescent="0.45">
      <c r="A24">
        <v>18</v>
      </c>
      <c r="B24">
        <v>500</v>
      </c>
      <c r="C24">
        <v>130</v>
      </c>
      <c r="D24">
        <f t="shared" si="0"/>
        <v>500</v>
      </c>
      <c r="E24">
        <f t="shared" si="1"/>
        <v>18</v>
      </c>
      <c r="F24" s="1">
        <f>INDEX('App-Click Conversion by Rank'!$K$12:$S$31,MATCH(E24,'App-Click Conversion by Rank'!$J$12:$J$31,0),MATCH(D24,'App-Click Conversion by Rank'!$K$11:$S$11,0))</f>
        <v>4.3760374226648555E-3</v>
      </c>
      <c r="G24" s="3">
        <f t="shared" si="2"/>
        <v>0.5688848649464312</v>
      </c>
      <c r="H24" s="5">
        <f t="shared" si="3"/>
        <v>10.239927569035762</v>
      </c>
      <c r="I24">
        <f t="shared" si="4"/>
        <v>2340</v>
      </c>
    </row>
    <row r="25" spans="1:9" x14ac:dyDescent="0.45">
      <c r="A25">
        <v>17</v>
      </c>
      <c r="B25">
        <v>450</v>
      </c>
      <c r="C25">
        <v>48</v>
      </c>
      <c r="D25">
        <f t="shared" si="0"/>
        <v>450</v>
      </c>
      <c r="E25">
        <f t="shared" si="1"/>
        <v>17</v>
      </c>
      <c r="F25" s="1">
        <f>INDEX('App-Click Conversion by Rank'!$K$12:$S$31,MATCH(E25,'App-Click Conversion by Rank'!$J$12:$J$31,0),MATCH(D25,'App-Click Conversion by Rank'!$K$11:$S$11,0))</f>
        <v>3.609293931874577E-3</v>
      </c>
      <c r="G25" s="3">
        <f t="shared" si="2"/>
        <v>0.1732461087299797</v>
      </c>
      <c r="H25" s="5">
        <f t="shared" si="3"/>
        <v>2.9451838484096546</v>
      </c>
      <c r="I25">
        <f t="shared" si="4"/>
        <v>816</v>
      </c>
    </row>
    <row r="26" spans="1:9" x14ac:dyDescent="0.45">
      <c r="A26">
        <v>8</v>
      </c>
      <c r="B26">
        <v>200</v>
      </c>
      <c r="C26">
        <v>7</v>
      </c>
      <c r="D26">
        <f t="shared" si="0"/>
        <v>200</v>
      </c>
      <c r="E26">
        <f t="shared" si="1"/>
        <v>8</v>
      </c>
      <c r="F26" s="1">
        <f>INDEX('App-Click Conversion by Rank'!$K$12:$S$31,MATCH(E26,'App-Click Conversion by Rank'!$J$12:$J$31,0),MATCH(D26,'App-Click Conversion by Rank'!$K$11:$S$11,0))</f>
        <v>1.7817371937639197E-2</v>
      </c>
      <c r="G26" s="3">
        <f t="shared" si="2"/>
        <v>0.12472160356347438</v>
      </c>
      <c r="H26" s="5">
        <f t="shared" si="3"/>
        <v>0.99777282850779503</v>
      </c>
      <c r="I26">
        <f t="shared" si="4"/>
        <v>56</v>
      </c>
    </row>
    <row r="27" spans="1:9" x14ac:dyDescent="0.45">
      <c r="A27">
        <v>17</v>
      </c>
      <c r="B27">
        <v>350</v>
      </c>
      <c r="C27">
        <v>7</v>
      </c>
      <c r="D27">
        <f t="shared" si="0"/>
        <v>350</v>
      </c>
      <c r="E27">
        <f t="shared" si="1"/>
        <v>17</v>
      </c>
      <c r="F27" s="1">
        <f>INDEX('App-Click Conversion by Rank'!$K$12:$S$31,MATCH(E27,'App-Click Conversion by Rank'!$J$12:$J$31,0),MATCH(D27,'App-Click Conversion by Rank'!$K$11:$S$11,0))</f>
        <v>2.5445292620865142E-3</v>
      </c>
      <c r="G27" s="3">
        <f t="shared" si="2"/>
        <v>1.7811704834605598E-2</v>
      </c>
      <c r="H27" s="5">
        <f t="shared" si="3"/>
        <v>0.30279898218829515</v>
      </c>
      <c r="I27">
        <f t="shared" si="4"/>
        <v>119</v>
      </c>
    </row>
    <row r="28" spans="1:9" x14ac:dyDescent="0.45">
      <c r="A28">
        <v>19</v>
      </c>
      <c r="B28">
        <v>400</v>
      </c>
      <c r="C28">
        <v>27</v>
      </c>
      <c r="D28">
        <f t="shared" si="0"/>
        <v>400</v>
      </c>
      <c r="E28">
        <f t="shared" si="1"/>
        <v>19</v>
      </c>
      <c r="F28" s="1">
        <f>INDEX('App-Click Conversion by Rank'!$K$12:$S$31,MATCH(E28,'App-Click Conversion by Rank'!$J$12:$J$31,0),MATCH(D28,'App-Click Conversion by Rank'!$K$11:$S$11,0))</f>
        <v>2.1220159151193632E-3</v>
      </c>
      <c r="G28" s="3">
        <f t="shared" si="2"/>
        <v>5.7294429708222808E-2</v>
      </c>
      <c r="H28" s="5">
        <f t="shared" si="3"/>
        <v>1.0885941644562334</v>
      </c>
      <c r="I28">
        <f t="shared" si="4"/>
        <v>513</v>
      </c>
    </row>
    <row r="29" spans="1:9" x14ac:dyDescent="0.45">
      <c r="A29">
        <v>31</v>
      </c>
      <c r="B29">
        <v>400</v>
      </c>
      <c r="C29">
        <v>2</v>
      </c>
      <c r="D29">
        <f t="shared" si="0"/>
        <v>400</v>
      </c>
      <c r="E29" t="str">
        <f t="shared" si="1"/>
        <v>20+</v>
      </c>
      <c r="F29" s="1">
        <f>INDEX('App-Click Conversion by Rank'!$K$12:$S$31,MATCH(E29,'App-Click Conversion by Rank'!$J$12:$J$31,0),MATCH(D29,'App-Click Conversion by Rank'!$K$11:$S$11,0))</f>
        <v>6.4196625091709463E-3</v>
      </c>
      <c r="G29" s="3">
        <f t="shared" si="2"/>
        <v>1.2839325018341893E-2</v>
      </c>
      <c r="H29" s="5">
        <f t="shared" si="3"/>
        <v>0.39801907556859867</v>
      </c>
      <c r="I29">
        <f t="shared" si="4"/>
        <v>62</v>
      </c>
    </row>
    <row r="30" spans="1:9" x14ac:dyDescent="0.45">
      <c r="A30">
        <v>8</v>
      </c>
      <c r="B30">
        <v>250</v>
      </c>
      <c r="C30">
        <v>23</v>
      </c>
      <c r="D30">
        <f t="shared" si="0"/>
        <v>250</v>
      </c>
      <c r="E30">
        <f t="shared" si="1"/>
        <v>8</v>
      </c>
      <c r="F30" s="1">
        <f>INDEX('App-Click Conversion by Rank'!$K$12:$S$31,MATCH(E30,'App-Click Conversion by Rank'!$J$12:$J$31,0),MATCH(D30,'App-Click Conversion by Rank'!$K$11:$S$11,0))</f>
        <v>3.04E-2</v>
      </c>
      <c r="G30" s="3">
        <f t="shared" si="2"/>
        <v>0.69920000000000004</v>
      </c>
      <c r="H30" s="5">
        <f t="shared" si="3"/>
        <v>5.5936000000000003</v>
      </c>
      <c r="I30">
        <f t="shared" si="4"/>
        <v>184</v>
      </c>
    </row>
    <row r="31" spans="1:9" x14ac:dyDescent="0.45">
      <c r="A31">
        <v>21</v>
      </c>
      <c r="B31">
        <v>350</v>
      </c>
      <c r="C31">
        <v>4</v>
      </c>
      <c r="D31">
        <f t="shared" si="0"/>
        <v>350</v>
      </c>
      <c r="E31" t="str">
        <f t="shared" si="1"/>
        <v>20+</v>
      </c>
      <c r="F31" s="1">
        <f>INDEX('App-Click Conversion by Rank'!$K$12:$S$31,MATCH(E31,'App-Click Conversion by Rank'!$J$12:$J$31,0),MATCH(D31,'App-Click Conversion by Rank'!$K$11:$S$11,0))</f>
        <v>4.1279669762641896E-3</v>
      </c>
      <c r="G31" s="3">
        <f t="shared" si="2"/>
        <v>1.6511867905056758E-2</v>
      </c>
      <c r="H31" s="5">
        <f t="shared" si="3"/>
        <v>0.3467492260061919</v>
      </c>
      <c r="I31">
        <f t="shared" si="4"/>
        <v>84</v>
      </c>
    </row>
    <row r="32" spans="1:9" x14ac:dyDescent="0.45">
      <c r="A32">
        <v>7</v>
      </c>
      <c r="B32">
        <v>200</v>
      </c>
      <c r="C32">
        <v>21</v>
      </c>
      <c r="D32">
        <f t="shared" si="0"/>
        <v>200</v>
      </c>
      <c r="E32">
        <f t="shared" si="1"/>
        <v>7</v>
      </c>
      <c r="F32" s="1">
        <f>INDEX('App-Click Conversion by Rank'!$K$12:$S$31,MATCH(E32,'App-Click Conversion by Rank'!$J$12:$J$31,0),MATCH(D32,'App-Click Conversion by Rank'!$K$11:$S$11,0))</f>
        <v>2.3569023569023569E-2</v>
      </c>
      <c r="G32" s="3">
        <f t="shared" si="2"/>
        <v>0.49494949494949497</v>
      </c>
      <c r="H32" s="5">
        <f t="shared" si="3"/>
        <v>3.464646464646465</v>
      </c>
      <c r="I32">
        <f t="shared" si="4"/>
        <v>147</v>
      </c>
    </row>
    <row r="33" spans="1:9" x14ac:dyDescent="0.45">
      <c r="A33">
        <v>2</v>
      </c>
      <c r="B33">
        <v>150</v>
      </c>
      <c r="C33">
        <v>2</v>
      </c>
      <c r="D33" t="str">
        <f t="shared" si="0"/>
        <v>&lt;=150</v>
      </c>
      <c r="E33">
        <f t="shared" si="1"/>
        <v>2</v>
      </c>
      <c r="F33" s="1">
        <f>INDEX('App-Click Conversion by Rank'!$K$12:$S$31,MATCH(E33,'App-Click Conversion by Rank'!$J$12:$J$31,0),MATCH(D33,'App-Click Conversion by Rank'!$K$11:$S$11,0))</f>
        <v>0.14536340852130325</v>
      </c>
      <c r="G33" s="3">
        <f t="shared" si="2"/>
        <v>0.2907268170426065</v>
      </c>
      <c r="H33" s="5">
        <f t="shared" si="3"/>
        <v>0.581453634085213</v>
      </c>
      <c r="I33">
        <f t="shared" si="4"/>
        <v>4</v>
      </c>
    </row>
    <row r="34" spans="1:9" x14ac:dyDescent="0.45">
      <c r="A34">
        <v>28</v>
      </c>
      <c r="B34">
        <v>650</v>
      </c>
      <c r="C34">
        <v>2</v>
      </c>
      <c r="D34" t="str">
        <f t="shared" si="0"/>
        <v>501+</v>
      </c>
      <c r="E34" t="str">
        <f t="shared" si="1"/>
        <v>20+</v>
      </c>
      <c r="F34" s="1">
        <f>INDEX('App-Click Conversion by Rank'!$K$12:$S$31,MATCH(E34,'App-Click Conversion by Rank'!$J$12:$J$31,0),MATCH(D34,'App-Click Conversion by Rank'!$K$11:$S$11,0))</f>
        <v>5.9893958237873931E-3</v>
      </c>
      <c r="G34" s="3">
        <f t="shared" si="2"/>
        <v>1.1978791647574786E-2</v>
      </c>
      <c r="H34" s="5">
        <f t="shared" si="3"/>
        <v>0.33540616613209401</v>
      </c>
      <c r="I34">
        <f t="shared" si="4"/>
        <v>56</v>
      </c>
    </row>
    <row r="35" spans="1:9" x14ac:dyDescent="0.45">
      <c r="A35">
        <v>21</v>
      </c>
      <c r="B35">
        <v>300</v>
      </c>
      <c r="C35">
        <v>2</v>
      </c>
      <c r="D35">
        <f t="shared" si="0"/>
        <v>300</v>
      </c>
      <c r="E35" t="str">
        <f t="shared" si="1"/>
        <v>20+</v>
      </c>
      <c r="F35" s="1">
        <f>INDEX('App-Click Conversion by Rank'!$K$12:$S$31,MATCH(E35,'App-Click Conversion by Rank'!$J$12:$J$31,0),MATCH(D35,'App-Click Conversion by Rank'!$K$11:$S$11,0))</f>
        <v>4.5385779122541605E-3</v>
      </c>
      <c r="G35" s="3">
        <f t="shared" si="2"/>
        <v>9.0771558245083209E-3</v>
      </c>
      <c r="H35" s="5">
        <f t="shared" si="3"/>
        <v>0.19062027231467474</v>
      </c>
      <c r="I35">
        <f t="shared" si="4"/>
        <v>42</v>
      </c>
    </row>
    <row r="36" spans="1:9" x14ac:dyDescent="0.45">
      <c r="A36">
        <v>26</v>
      </c>
      <c r="B36">
        <v>400</v>
      </c>
      <c r="C36">
        <v>4</v>
      </c>
      <c r="D36">
        <f t="shared" si="0"/>
        <v>400</v>
      </c>
      <c r="E36" t="str">
        <f t="shared" si="1"/>
        <v>20+</v>
      </c>
      <c r="F36" s="1">
        <f>INDEX('App-Click Conversion by Rank'!$K$12:$S$31,MATCH(E36,'App-Click Conversion by Rank'!$J$12:$J$31,0),MATCH(D36,'App-Click Conversion by Rank'!$K$11:$S$11,0))</f>
        <v>6.4196625091709463E-3</v>
      </c>
      <c r="G36" s="3">
        <f t="shared" si="2"/>
        <v>2.5678650036683785E-2</v>
      </c>
      <c r="H36" s="5">
        <f t="shared" si="3"/>
        <v>0.66764490095377838</v>
      </c>
      <c r="I36">
        <f t="shared" si="4"/>
        <v>104</v>
      </c>
    </row>
    <row r="37" spans="1:9" x14ac:dyDescent="0.45">
      <c r="A37">
        <v>16</v>
      </c>
      <c r="B37">
        <v>650</v>
      </c>
      <c r="C37">
        <v>1</v>
      </c>
      <c r="D37" t="str">
        <f t="shared" si="0"/>
        <v>501+</v>
      </c>
      <c r="E37">
        <f t="shared" si="1"/>
        <v>16</v>
      </c>
      <c r="F37" s="1">
        <f>INDEX('App-Click Conversion by Rank'!$K$12:$S$31,MATCH(E37,'App-Click Conversion by Rank'!$J$12:$J$31,0),MATCH(D37,'App-Click Conversion by Rank'!$K$11:$S$11,0))</f>
        <v>3.5842293906810036E-3</v>
      </c>
      <c r="G37" s="3">
        <f t="shared" si="2"/>
        <v>3.5842293906810036E-3</v>
      </c>
      <c r="H37" s="5">
        <f t="shared" si="3"/>
        <v>5.7347670250896057E-2</v>
      </c>
      <c r="I37">
        <f t="shared" si="4"/>
        <v>16</v>
      </c>
    </row>
    <row r="38" spans="1:9" x14ac:dyDescent="0.45">
      <c r="A38">
        <v>2</v>
      </c>
      <c r="B38">
        <v>450</v>
      </c>
      <c r="C38">
        <v>180</v>
      </c>
      <c r="D38">
        <f t="shared" si="0"/>
        <v>450</v>
      </c>
      <c r="E38">
        <f t="shared" si="1"/>
        <v>2</v>
      </c>
      <c r="F38" s="1">
        <f>INDEX('App-Click Conversion by Rank'!$K$12:$S$31,MATCH(E38,'App-Click Conversion by Rank'!$J$12:$J$31,0),MATCH(D38,'App-Click Conversion by Rank'!$K$11:$S$11,0))</f>
        <v>7.482403898213319E-2</v>
      </c>
      <c r="G38" s="3">
        <f t="shared" si="2"/>
        <v>13.468327016783974</v>
      </c>
      <c r="H38" s="5">
        <f t="shared" si="3"/>
        <v>26.936654033567947</v>
      </c>
      <c r="I38">
        <f t="shared" si="4"/>
        <v>360</v>
      </c>
    </row>
    <row r="39" spans="1:9" x14ac:dyDescent="0.45">
      <c r="A39">
        <v>16</v>
      </c>
      <c r="B39">
        <v>550</v>
      </c>
      <c r="C39">
        <v>59</v>
      </c>
      <c r="D39" t="str">
        <f t="shared" si="0"/>
        <v>501+</v>
      </c>
      <c r="E39">
        <f t="shared" si="1"/>
        <v>16</v>
      </c>
      <c r="F39" s="1">
        <f>INDEX('App-Click Conversion by Rank'!$K$12:$S$31,MATCH(E39,'App-Click Conversion by Rank'!$J$12:$J$31,0),MATCH(D39,'App-Click Conversion by Rank'!$K$11:$S$11,0))</f>
        <v>3.5842293906810036E-3</v>
      </c>
      <c r="G39" s="3">
        <f t="shared" si="2"/>
        <v>0.21146953405017921</v>
      </c>
      <c r="H39" s="5">
        <f t="shared" si="3"/>
        <v>3.3835125448028673</v>
      </c>
      <c r="I39">
        <f t="shared" si="4"/>
        <v>944</v>
      </c>
    </row>
    <row r="40" spans="1:9" x14ac:dyDescent="0.45">
      <c r="A40">
        <v>6</v>
      </c>
      <c r="B40">
        <v>450</v>
      </c>
      <c r="C40">
        <v>449</v>
      </c>
      <c r="D40">
        <f t="shared" si="0"/>
        <v>450</v>
      </c>
      <c r="E40">
        <f t="shared" si="1"/>
        <v>6</v>
      </c>
      <c r="F40" s="1">
        <f>INDEX('App-Click Conversion by Rank'!$K$12:$S$31,MATCH(E40,'App-Click Conversion by Rank'!$J$12:$J$31,0),MATCH(D40,'App-Click Conversion by Rank'!$K$11:$S$11,0))</f>
        <v>2.4506126531632907E-2</v>
      </c>
      <c r="G40" s="3">
        <f t="shared" si="2"/>
        <v>11.003250812703175</v>
      </c>
      <c r="H40" s="5">
        <f t="shared" si="3"/>
        <v>66.019504876219059</v>
      </c>
      <c r="I40">
        <f t="shared" si="4"/>
        <v>2694</v>
      </c>
    </row>
    <row r="41" spans="1:9" x14ac:dyDescent="0.45">
      <c r="A41">
        <v>17</v>
      </c>
      <c r="B41">
        <v>500</v>
      </c>
      <c r="C41">
        <v>93</v>
      </c>
      <c r="D41">
        <f t="shared" si="0"/>
        <v>500</v>
      </c>
      <c r="E41">
        <f t="shared" si="1"/>
        <v>17</v>
      </c>
      <c r="F41" s="1">
        <f>INDEX('App-Click Conversion by Rank'!$K$12:$S$31,MATCH(E41,'App-Click Conversion by Rank'!$J$12:$J$31,0),MATCH(D41,'App-Click Conversion by Rank'!$K$11:$S$11,0))</f>
        <v>3.625290023201856E-3</v>
      </c>
      <c r="G41" s="3">
        <f t="shared" si="2"/>
        <v>0.33715197215777259</v>
      </c>
      <c r="H41" s="5">
        <f t="shared" si="3"/>
        <v>5.731583526682134</v>
      </c>
      <c r="I41">
        <f t="shared" si="4"/>
        <v>1581</v>
      </c>
    </row>
    <row r="42" spans="1:9" x14ac:dyDescent="0.45">
      <c r="A42">
        <v>6</v>
      </c>
      <c r="B42">
        <v>350</v>
      </c>
      <c r="C42">
        <v>168</v>
      </c>
      <c r="D42">
        <f t="shared" si="0"/>
        <v>350</v>
      </c>
      <c r="E42">
        <f t="shared" si="1"/>
        <v>6</v>
      </c>
      <c r="F42" s="1">
        <f>INDEX('App-Click Conversion by Rank'!$K$12:$S$31,MATCH(E42,'App-Click Conversion by Rank'!$J$12:$J$31,0),MATCH(D42,'App-Click Conversion by Rank'!$K$11:$S$11,0))</f>
        <v>2.8679245283018868E-2</v>
      </c>
      <c r="G42" s="3">
        <f t="shared" si="2"/>
        <v>4.81811320754717</v>
      </c>
      <c r="H42" s="5">
        <f t="shared" si="3"/>
        <v>28.908679245283018</v>
      </c>
      <c r="I42">
        <f t="shared" si="4"/>
        <v>1008</v>
      </c>
    </row>
    <row r="43" spans="1:9" x14ac:dyDescent="0.45">
      <c r="A43">
        <v>28</v>
      </c>
      <c r="B43">
        <v>550</v>
      </c>
      <c r="C43">
        <v>120</v>
      </c>
      <c r="D43" t="str">
        <f t="shared" si="0"/>
        <v>501+</v>
      </c>
      <c r="E43" t="str">
        <f t="shared" si="1"/>
        <v>20+</v>
      </c>
      <c r="F43" s="1">
        <f>INDEX('App-Click Conversion by Rank'!$K$12:$S$31,MATCH(E43,'App-Click Conversion by Rank'!$J$12:$J$31,0),MATCH(D43,'App-Click Conversion by Rank'!$K$11:$S$11,0))</f>
        <v>5.9893958237873931E-3</v>
      </c>
      <c r="G43" s="3">
        <f t="shared" si="2"/>
        <v>0.71872749885448717</v>
      </c>
      <c r="H43" s="5">
        <f t="shared" si="3"/>
        <v>20.124369967925642</v>
      </c>
      <c r="I43">
        <f t="shared" si="4"/>
        <v>3360</v>
      </c>
    </row>
    <row r="44" spans="1:9" x14ac:dyDescent="0.45">
      <c r="A44">
        <v>23</v>
      </c>
      <c r="B44">
        <v>600</v>
      </c>
      <c r="C44">
        <v>18</v>
      </c>
      <c r="D44" t="str">
        <f t="shared" si="0"/>
        <v>501+</v>
      </c>
      <c r="E44" t="str">
        <f t="shared" si="1"/>
        <v>20+</v>
      </c>
      <c r="F44" s="1">
        <f>INDEX('App-Click Conversion by Rank'!$K$12:$S$31,MATCH(E44,'App-Click Conversion by Rank'!$J$12:$J$31,0),MATCH(D44,'App-Click Conversion by Rank'!$K$11:$S$11,0))</f>
        <v>5.9893958237873931E-3</v>
      </c>
      <c r="G44" s="3">
        <f t="shared" si="2"/>
        <v>0.10780912482817308</v>
      </c>
      <c r="H44" s="5">
        <f t="shared" si="3"/>
        <v>2.4796098710479808</v>
      </c>
      <c r="I44">
        <f t="shared" si="4"/>
        <v>414</v>
      </c>
    </row>
    <row r="45" spans="1:9" x14ac:dyDescent="0.45">
      <c r="A45">
        <v>2</v>
      </c>
      <c r="B45">
        <v>350</v>
      </c>
      <c r="C45">
        <v>131</v>
      </c>
      <c r="D45">
        <f t="shared" si="0"/>
        <v>350</v>
      </c>
      <c r="E45">
        <f t="shared" si="1"/>
        <v>2</v>
      </c>
      <c r="F45" s="1">
        <f>INDEX('App-Click Conversion by Rank'!$K$12:$S$31,MATCH(E45,'App-Click Conversion by Rank'!$J$12:$J$31,0),MATCH(D45,'App-Click Conversion by Rank'!$K$11:$S$11,0))</f>
        <v>0.10566877890049665</v>
      </c>
      <c r="G45" s="3">
        <f t="shared" si="2"/>
        <v>13.842610035965063</v>
      </c>
      <c r="H45" s="5">
        <f t="shared" si="3"/>
        <v>27.685220071930125</v>
      </c>
      <c r="I45">
        <f t="shared" si="4"/>
        <v>262</v>
      </c>
    </row>
    <row r="46" spans="1:9" x14ac:dyDescent="0.45">
      <c r="A46">
        <v>15</v>
      </c>
      <c r="B46">
        <v>600</v>
      </c>
      <c r="C46">
        <v>66</v>
      </c>
      <c r="D46" t="str">
        <f t="shared" si="0"/>
        <v>501+</v>
      </c>
      <c r="E46">
        <f t="shared" si="1"/>
        <v>15</v>
      </c>
      <c r="F46" s="1">
        <f>INDEX('App-Click Conversion by Rank'!$K$12:$S$31,MATCH(E46,'App-Click Conversion by Rank'!$J$12:$J$31,0),MATCH(D46,'App-Click Conversion by Rank'!$K$11:$S$11,0))</f>
        <v>3.3794657225619568E-3</v>
      </c>
      <c r="G46" s="3">
        <f t="shared" si="2"/>
        <v>0.22304473768908914</v>
      </c>
      <c r="H46" s="5">
        <f t="shared" si="3"/>
        <v>3.3456710653363371</v>
      </c>
      <c r="I46">
        <f t="shared" si="4"/>
        <v>990</v>
      </c>
    </row>
    <row r="47" spans="1:9" x14ac:dyDescent="0.45">
      <c r="A47">
        <v>4</v>
      </c>
      <c r="B47">
        <v>150</v>
      </c>
      <c r="C47">
        <v>7</v>
      </c>
      <c r="D47" t="str">
        <f t="shared" si="0"/>
        <v>&lt;=150</v>
      </c>
      <c r="E47">
        <f t="shared" si="1"/>
        <v>4</v>
      </c>
      <c r="F47" s="1">
        <f>INDEX('App-Click Conversion by Rank'!$K$12:$S$31,MATCH(E47,'App-Click Conversion by Rank'!$J$12:$J$31,0),MATCH(D47,'App-Click Conversion by Rank'!$K$11:$S$11,0))</f>
        <v>0.12549019607843137</v>
      </c>
      <c r="G47" s="3">
        <f t="shared" si="2"/>
        <v>0.8784313725490196</v>
      </c>
      <c r="H47" s="5">
        <f t="shared" si="3"/>
        <v>3.5137254901960784</v>
      </c>
      <c r="I47">
        <f t="shared" si="4"/>
        <v>28</v>
      </c>
    </row>
    <row r="48" spans="1:9" x14ac:dyDescent="0.45">
      <c r="A48">
        <v>5</v>
      </c>
      <c r="B48">
        <v>300</v>
      </c>
      <c r="C48">
        <v>59</v>
      </c>
      <c r="D48">
        <f t="shared" si="0"/>
        <v>300</v>
      </c>
      <c r="E48">
        <f t="shared" si="1"/>
        <v>5</v>
      </c>
      <c r="F48" s="1">
        <f>INDEX('App-Click Conversion by Rank'!$K$12:$S$31,MATCH(E48,'App-Click Conversion by Rank'!$J$12:$J$31,0),MATCH(D48,'App-Click Conversion by Rank'!$K$11:$S$11,0))</f>
        <v>4.7058823529411764E-2</v>
      </c>
      <c r="G48" s="3">
        <f t="shared" si="2"/>
        <v>2.776470588235294</v>
      </c>
      <c r="H48" s="5">
        <f t="shared" si="3"/>
        <v>13.882352941176471</v>
      </c>
      <c r="I48">
        <f t="shared" si="4"/>
        <v>295</v>
      </c>
    </row>
    <row r="49" spans="1:9" x14ac:dyDescent="0.45">
      <c r="A49">
        <v>35</v>
      </c>
      <c r="B49">
        <v>550</v>
      </c>
      <c r="C49">
        <v>23</v>
      </c>
      <c r="D49" t="str">
        <f t="shared" si="0"/>
        <v>501+</v>
      </c>
      <c r="E49" t="str">
        <f t="shared" si="1"/>
        <v>20+</v>
      </c>
      <c r="F49" s="1">
        <f>INDEX('App-Click Conversion by Rank'!$K$12:$S$31,MATCH(E49,'App-Click Conversion by Rank'!$J$12:$J$31,0),MATCH(D49,'App-Click Conversion by Rank'!$K$11:$S$11,0))</f>
        <v>5.9893958237873931E-3</v>
      </c>
      <c r="G49" s="3">
        <f t="shared" si="2"/>
        <v>0.13775610394711005</v>
      </c>
      <c r="H49" s="5">
        <f t="shared" si="3"/>
        <v>4.8214636381488516</v>
      </c>
      <c r="I49">
        <f t="shared" si="4"/>
        <v>805</v>
      </c>
    </row>
    <row r="50" spans="1:9" x14ac:dyDescent="0.45">
      <c r="A50">
        <v>38</v>
      </c>
      <c r="B50">
        <v>500</v>
      </c>
      <c r="C50">
        <v>2</v>
      </c>
      <c r="D50">
        <f t="shared" si="0"/>
        <v>500</v>
      </c>
      <c r="E50" t="str">
        <f t="shared" si="1"/>
        <v>20+</v>
      </c>
      <c r="F50" s="1">
        <f>INDEX('App-Click Conversion by Rank'!$K$12:$S$31,MATCH(E50,'App-Click Conversion by Rank'!$J$12:$J$31,0),MATCH(D50,'App-Click Conversion by Rank'!$K$11:$S$11,0))</f>
        <v>5.1121544079290558E-3</v>
      </c>
      <c r="G50" s="3">
        <f t="shared" si="2"/>
        <v>1.0224308815858112E-2</v>
      </c>
      <c r="H50" s="5">
        <f t="shared" si="3"/>
        <v>0.38852373500260823</v>
      </c>
      <c r="I50">
        <f t="shared" si="4"/>
        <v>76</v>
      </c>
    </row>
    <row r="51" spans="1:9" x14ac:dyDescent="0.45">
      <c r="A51">
        <v>1</v>
      </c>
      <c r="B51">
        <v>550</v>
      </c>
      <c r="C51">
        <v>8</v>
      </c>
      <c r="D51" t="str">
        <f t="shared" si="0"/>
        <v>501+</v>
      </c>
      <c r="E51">
        <f t="shared" si="1"/>
        <v>1</v>
      </c>
      <c r="F51" s="1">
        <f>INDEX('App-Click Conversion by Rank'!$K$12:$S$31,MATCH(E51,'App-Click Conversion by Rank'!$J$12:$J$31,0),MATCH(D51,'App-Click Conversion by Rank'!$K$11:$S$11,0))</f>
        <v>0.12719738824711199</v>
      </c>
      <c r="G51" s="3">
        <f t="shared" si="2"/>
        <v>1.0175791059768959</v>
      </c>
      <c r="H51" s="5">
        <f t="shared" si="3"/>
        <v>1.0175791059768959</v>
      </c>
      <c r="I51">
        <f t="shared" si="4"/>
        <v>8</v>
      </c>
    </row>
    <row r="52" spans="1:9" x14ac:dyDescent="0.45">
      <c r="A52">
        <v>24</v>
      </c>
      <c r="B52">
        <v>400</v>
      </c>
      <c r="C52">
        <v>10</v>
      </c>
      <c r="D52">
        <f t="shared" si="0"/>
        <v>400</v>
      </c>
      <c r="E52" t="str">
        <f t="shared" si="1"/>
        <v>20+</v>
      </c>
      <c r="F52" s="1">
        <f>INDEX('App-Click Conversion by Rank'!$K$12:$S$31,MATCH(E52,'App-Click Conversion by Rank'!$J$12:$J$31,0),MATCH(D52,'App-Click Conversion by Rank'!$K$11:$S$11,0))</f>
        <v>6.4196625091709463E-3</v>
      </c>
      <c r="G52" s="3">
        <f t="shared" si="2"/>
        <v>6.4196625091709467E-2</v>
      </c>
      <c r="H52" s="5">
        <f t="shared" si="3"/>
        <v>1.5407190022010271</v>
      </c>
      <c r="I52">
        <f t="shared" si="4"/>
        <v>240</v>
      </c>
    </row>
    <row r="53" spans="1:9" x14ac:dyDescent="0.45">
      <c r="A53">
        <v>18</v>
      </c>
      <c r="B53">
        <v>400</v>
      </c>
      <c r="C53">
        <v>14</v>
      </c>
      <c r="D53">
        <f t="shared" si="0"/>
        <v>400</v>
      </c>
      <c r="E53">
        <f t="shared" si="1"/>
        <v>18</v>
      </c>
      <c r="F53" s="1">
        <f>INDEX('App-Click Conversion by Rank'!$K$12:$S$31,MATCH(E53,'App-Click Conversion by Rank'!$J$12:$J$31,0),MATCH(D53,'App-Click Conversion by Rank'!$K$11:$S$11,0))</f>
        <v>3.8113387327298712E-3</v>
      </c>
      <c r="G53" s="3">
        <f t="shared" si="2"/>
        <v>5.3358742258218197E-2</v>
      </c>
      <c r="H53" s="5">
        <f t="shared" si="3"/>
        <v>0.96045736064792753</v>
      </c>
      <c r="I53">
        <f t="shared" si="4"/>
        <v>252</v>
      </c>
    </row>
    <row r="54" spans="1:9" x14ac:dyDescent="0.45">
      <c r="A54">
        <v>35</v>
      </c>
      <c r="B54">
        <v>650</v>
      </c>
      <c r="C54">
        <v>1</v>
      </c>
      <c r="D54" t="str">
        <f t="shared" si="0"/>
        <v>501+</v>
      </c>
      <c r="E54" t="str">
        <f t="shared" si="1"/>
        <v>20+</v>
      </c>
      <c r="F54" s="1">
        <f>INDEX('App-Click Conversion by Rank'!$K$12:$S$31,MATCH(E54,'App-Click Conversion by Rank'!$J$12:$J$31,0),MATCH(D54,'App-Click Conversion by Rank'!$K$11:$S$11,0))</f>
        <v>5.9893958237873931E-3</v>
      </c>
      <c r="G54" s="3">
        <f t="shared" si="2"/>
        <v>5.9893958237873931E-3</v>
      </c>
      <c r="H54" s="5">
        <f t="shared" si="3"/>
        <v>0.20962885383255875</v>
      </c>
      <c r="I54">
        <f t="shared" si="4"/>
        <v>35</v>
      </c>
    </row>
    <row r="55" spans="1:9" x14ac:dyDescent="0.45">
      <c r="A55">
        <v>7</v>
      </c>
      <c r="B55">
        <v>150</v>
      </c>
      <c r="C55">
        <v>9</v>
      </c>
      <c r="D55" t="str">
        <f t="shared" si="0"/>
        <v>&lt;=150</v>
      </c>
      <c r="E55">
        <f t="shared" si="1"/>
        <v>7</v>
      </c>
      <c r="F55" s="1">
        <f>INDEX('App-Click Conversion by Rank'!$K$12:$S$31,MATCH(E55,'App-Click Conversion by Rank'!$J$12:$J$31,0),MATCH(D55,'App-Click Conversion by Rank'!$K$11:$S$11,0))</f>
        <v>2.0202020202020204E-2</v>
      </c>
      <c r="G55" s="3">
        <f t="shared" si="2"/>
        <v>0.18181818181818182</v>
      </c>
      <c r="H55" s="5">
        <f t="shared" si="3"/>
        <v>1.2727272727272727</v>
      </c>
      <c r="I55">
        <f t="shared" si="4"/>
        <v>63</v>
      </c>
    </row>
    <row r="56" spans="1:9" x14ac:dyDescent="0.45">
      <c r="A56">
        <v>37</v>
      </c>
      <c r="B56">
        <v>600</v>
      </c>
      <c r="C56">
        <v>2</v>
      </c>
      <c r="D56" t="str">
        <f t="shared" si="0"/>
        <v>501+</v>
      </c>
      <c r="E56" t="str">
        <f t="shared" si="1"/>
        <v>20+</v>
      </c>
      <c r="F56" s="1">
        <f>INDEX('App-Click Conversion by Rank'!$K$12:$S$31,MATCH(E56,'App-Click Conversion by Rank'!$J$12:$J$31,0),MATCH(D56,'App-Click Conversion by Rank'!$K$11:$S$11,0))</f>
        <v>5.9893958237873931E-3</v>
      </c>
      <c r="G56" s="3">
        <f t="shared" si="2"/>
        <v>1.1978791647574786E-2</v>
      </c>
      <c r="H56" s="5">
        <f t="shared" si="3"/>
        <v>0.44321529096026707</v>
      </c>
      <c r="I56">
        <f t="shared" si="4"/>
        <v>74</v>
      </c>
    </row>
    <row r="57" spans="1:9" x14ac:dyDescent="0.45">
      <c r="A57">
        <v>15</v>
      </c>
      <c r="B57">
        <v>650</v>
      </c>
      <c r="C57">
        <v>2</v>
      </c>
      <c r="D57" t="str">
        <f t="shared" si="0"/>
        <v>501+</v>
      </c>
      <c r="E57">
        <f t="shared" si="1"/>
        <v>15</v>
      </c>
      <c r="F57" s="1">
        <f>INDEX('App-Click Conversion by Rank'!$K$12:$S$31,MATCH(E57,'App-Click Conversion by Rank'!$J$12:$J$31,0),MATCH(D57,'App-Click Conversion by Rank'!$K$11:$S$11,0))</f>
        <v>3.3794657225619568E-3</v>
      </c>
      <c r="G57" s="3">
        <f t="shared" si="2"/>
        <v>6.7589314451239136E-3</v>
      </c>
      <c r="H57" s="5">
        <f t="shared" si="3"/>
        <v>0.1013839716768587</v>
      </c>
      <c r="I57">
        <f t="shared" si="4"/>
        <v>30</v>
      </c>
    </row>
    <row r="58" spans="1:9" x14ac:dyDescent="0.45">
      <c r="A58">
        <v>25</v>
      </c>
      <c r="B58">
        <v>250</v>
      </c>
      <c r="C58">
        <v>1</v>
      </c>
      <c r="D58">
        <f t="shared" si="0"/>
        <v>250</v>
      </c>
      <c r="E58" t="str">
        <f t="shared" si="1"/>
        <v>20+</v>
      </c>
      <c r="F58" s="1">
        <f>INDEX('App-Click Conversion by Rank'!$K$12:$S$31,MATCH(E58,'App-Click Conversion by Rank'!$J$12:$J$31,0),MATCH(D58,'App-Click Conversion by Rank'!$K$11:$S$11,0))</f>
        <v>1.0638297872340425E-2</v>
      </c>
      <c r="G58" s="3">
        <f t="shared" si="2"/>
        <v>1.0638297872340425E-2</v>
      </c>
      <c r="H58" s="5">
        <f t="shared" si="3"/>
        <v>0.26595744680851063</v>
      </c>
      <c r="I58">
        <f t="shared" si="4"/>
        <v>25</v>
      </c>
    </row>
    <row r="59" spans="1:9" x14ac:dyDescent="0.45">
      <c r="A59">
        <v>5</v>
      </c>
      <c r="B59">
        <v>150</v>
      </c>
      <c r="C59">
        <v>2</v>
      </c>
      <c r="D59" t="str">
        <f t="shared" si="0"/>
        <v>&lt;=150</v>
      </c>
      <c r="E59">
        <f t="shared" si="1"/>
        <v>5</v>
      </c>
      <c r="F59" s="1">
        <f>INDEX('App-Click Conversion by Rank'!$K$12:$S$31,MATCH(E59,'App-Click Conversion by Rank'!$J$12:$J$31,0),MATCH(D59,'App-Click Conversion by Rank'!$K$11:$S$11,0))</f>
        <v>8.11965811965812E-2</v>
      </c>
      <c r="G59" s="3">
        <f t="shared" si="2"/>
        <v>0.1623931623931624</v>
      </c>
      <c r="H59" s="5">
        <f t="shared" si="3"/>
        <v>0.81196581196581197</v>
      </c>
      <c r="I59">
        <f t="shared" si="4"/>
        <v>10</v>
      </c>
    </row>
    <row r="60" spans="1:9" x14ac:dyDescent="0.45">
      <c r="A60">
        <v>14</v>
      </c>
      <c r="B60">
        <v>400</v>
      </c>
      <c r="C60">
        <v>550</v>
      </c>
      <c r="D60">
        <f t="shared" si="0"/>
        <v>400</v>
      </c>
      <c r="E60">
        <f t="shared" si="1"/>
        <v>14</v>
      </c>
      <c r="F60" s="1">
        <f>INDEX('App-Click Conversion by Rank'!$K$12:$S$31,MATCH(E60,'App-Click Conversion by Rank'!$J$12:$J$31,0),MATCH(D60,'App-Click Conversion by Rank'!$K$11:$S$11,0))</f>
        <v>4.6901172529313232E-3</v>
      </c>
      <c r="G60" s="3">
        <f t="shared" si="2"/>
        <v>2.5795644891122276</v>
      </c>
      <c r="H60" s="5">
        <f t="shared" si="3"/>
        <v>36.113902847571183</v>
      </c>
      <c r="I60">
        <f t="shared" si="4"/>
        <v>7700</v>
      </c>
    </row>
    <row r="61" spans="1:9" x14ac:dyDescent="0.45">
      <c r="A61">
        <v>21</v>
      </c>
      <c r="B61">
        <v>450</v>
      </c>
      <c r="C61">
        <v>57</v>
      </c>
      <c r="D61">
        <f t="shared" si="0"/>
        <v>450</v>
      </c>
      <c r="E61" t="str">
        <f t="shared" si="1"/>
        <v>20+</v>
      </c>
      <c r="F61" s="1">
        <f>INDEX('App-Click Conversion by Rank'!$K$12:$S$31,MATCH(E61,'App-Click Conversion by Rank'!$J$12:$J$31,0),MATCH(D61,'App-Click Conversion by Rank'!$K$11:$S$11,0))</f>
        <v>5.6022408963585435E-3</v>
      </c>
      <c r="G61" s="3">
        <f t="shared" si="2"/>
        <v>0.31932773109243695</v>
      </c>
      <c r="H61" s="5">
        <f t="shared" si="3"/>
        <v>6.7058823529411757</v>
      </c>
      <c r="I61">
        <f t="shared" si="4"/>
        <v>1197</v>
      </c>
    </row>
    <row r="62" spans="1:9" x14ac:dyDescent="0.45">
      <c r="A62">
        <v>13</v>
      </c>
      <c r="B62">
        <v>500</v>
      </c>
      <c r="C62">
        <v>567</v>
      </c>
      <c r="D62">
        <f t="shared" si="0"/>
        <v>500</v>
      </c>
      <c r="E62">
        <f t="shared" si="1"/>
        <v>13</v>
      </c>
      <c r="F62" s="1">
        <f>INDEX('App-Click Conversion by Rank'!$K$12:$S$31,MATCH(E62,'App-Click Conversion by Rank'!$J$12:$J$31,0),MATCH(D62,'App-Click Conversion by Rank'!$K$11:$S$11,0))</f>
        <v>4.02060560371906E-3</v>
      </c>
      <c r="G62" s="3">
        <f t="shared" si="2"/>
        <v>2.2796833773087068</v>
      </c>
      <c r="H62" s="5">
        <f t="shared" si="3"/>
        <v>29.635883905013188</v>
      </c>
      <c r="I62">
        <f t="shared" si="4"/>
        <v>7371</v>
      </c>
    </row>
    <row r="63" spans="1:9" x14ac:dyDescent="0.45">
      <c r="A63">
        <v>12</v>
      </c>
      <c r="B63">
        <v>450</v>
      </c>
      <c r="C63">
        <v>397</v>
      </c>
      <c r="D63">
        <f t="shared" si="0"/>
        <v>450</v>
      </c>
      <c r="E63">
        <f t="shared" si="1"/>
        <v>12</v>
      </c>
      <c r="F63" s="1">
        <f>INDEX('App-Click Conversion by Rank'!$K$12:$S$31,MATCH(E63,'App-Click Conversion by Rank'!$J$12:$J$31,0),MATCH(D63,'App-Click Conversion by Rank'!$K$11:$S$11,0))</f>
        <v>5.1795580110497235E-3</v>
      </c>
      <c r="G63" s="3">
        <f t="shared" si="2"/>
        <v>2.0562845303867401</v>
      </c>
      <c r="H63" s="5">
        <f t="shared" si="3"/>
        <v>24.675414364640879</v>
      </c>
      <c r="I63">
        <f t="shared" si="4"/>
        <v>4764</v>
      </c>
    </row>
    <row r="64" spans="1:9" x14ac:dyDescent="0.45">
      <c r="A64">
        <v>3</v>
      </c>
      <c r="B64">
        <v>350</v>
      </c>
      <c r="C64">
        <v>523</v>
      </c>
      <c r="D64">
        <f t="shared" si="0"/>
        <v>350</v>
      </c>
      <c r="E64">
        <f t="shared" si="1"/>
        <v>3</v>
      </c>
      <c r="F64" s="1">
        <f>INDEX('App-Click Conversion by Rank'!$K$12:$S$31,MATCH(E64,'App-Click Conversion by Rank'!$J$12:$J$31,0),MATCH(D64,'App-Click Conversion by Rank'!$K$11:$S$11,0))</f>
        <v>6.8351870576339735E-2</v>
      </c>
      <c r="G64" s="3">
        <f t="shared" si="2"/>
        <v>35.748028311425685</v>
      </c>
      <c r="H64" s="5">
        <f t="shared" si="3"/>
        <v>107.24408493427705</v>
      </c>
      <c r="I64">
        <f t="shared" si="4"/>
        <v>1569</v>
      </c>
    </row>
    <row r="65" spans="1:9" x14ac:dyDescent="0.45">
      <c r="A65">
        <v>10</v>
      </c>
      <c r="B65">
        <v>350</v>
      </c>
      <c r="C65">
        <v>64</v>
      </c>
      <c r="D65">
        <f t="shared" si="0"/>
        <v>350</v>
      </c>
      <c r="E65">
        <f t="shared" si="1"/>
        <v>10</v>
      </c>
      <c r="F65" s="1">
        <f>INDEX('App-Click Conversion by Rank'!$K$12:$S$31,MATCH(E65,'App-Click Conversion by Rank'!$J$12:$J$31,0),MATCH(D65,'App-Click Conversion by Rank'!$K$11:$S$11,0))</f>
        <v>9.1474570069520669E-3</v>
      </c>
      <c r="G65" s="3">
        <f t="shared" si="2"/>
        <v>0.58543724844493228</v>
      </c>
      <c r="H65" s="5">
        <f t="shared" si="3"/>
        <v>5.854372484449323</v>
      </c>
      <c r="I65">
        <f t="shared" si="4"/>
        <v>640</v>
      </c>
    </row>
    <row r="66" spans="1:9" x14ac:dyDescent="0.45">
      <c r="A66">
        <v>3</v>
      </c>
      <c r="B66">
        <v>450</v>
      </c>
      <c r="C66">
        <v>723</v>
      </c>
      <c r="D66">
        <f t="shared" si="0"/>
        <v>450</v>
      </c>
      <c r="E66">
        <f t="shared" si="1"/>
        <v>3</v>
      </c>
      <c r="F66" s="1">
        <f>INDEX('App-Click Conversion by Rank'!$K$12:$S$31,MATCH(E66,'App-Click Conversion by Rank'!$J$12:$J$31,0),MATCH(D66,'App-Click Conversion by Rank'!$K$11:$S$11,0))</f>
        <v>5.0193489642613248E-2</v>
      </c>
      <c r="G66" s="3">
        <f t="shared" si="2"/>
        <v>36.289893011609379</v>
      </c>
      <c r="H66" s="5">
        <f t="shared" si="3"/>
        <v>108.86967903482814</v>
      </c>
      <c r="I66">
        <f t="shared" si="4"/>
        <v>2169</v>
      </c>
    </row>
    <row r="67" spans="1:9" x14ac:dyDescent="0.45">
      <c r="A67">
        <v>24</v>
      </c>
      <c r="B67">
        <v>500</v>
      </c>
      <c r="C67">
        <v>112</v>
      </c>
      <c r="D67">
        <f t="shared" ref="D67:D109" si="5">IF(B67&lt;=150,"&lt;=150",IF(B67&gt;500,"501+",B67))</f>
        <v>500</v>
      </c>
      <c r="E67" t="str">
        <f t="shared" ref="E67:E109" si="6">IF(A67&gt;=20,"20+",A67)</f>
        <v>20+</v>
      </c>
      <c r="F67" s="1">
        <f>INDEX('App-Click Conversion by Rank'!$K$12:$S$31,MATCH(E67,'App-Click Conversion by Rank'!$J$12:$J$31,0),MATCH(D67,'App-Click Conversion by Rank'!$K$11:$S$11,0))</f>
        <v>5.1121544079290558E-3</v>
      </c>
      <c r="G67" s="3">
        <f t="shared" ref="G67:G109" si="7">C67*F67</f>
        <v>0.5725612936880542</v>
      </c>
      <c r="H67" s="5">
        <f t="shared" ref="H67:H109" si="8">G67*A67</f>
        <v>13.741471048513301</v>
      </c>
      <c r="I67">
        <f t="shared" ref="I67:I110" si="9">C67*A67</f>
        <v>2688</v>
      </c>
    </row>
    <row r="68" spans="1:9" x14ac:dyDescent="0.45">
      <c r="A68">
        <v>13</v>
      </c>
      <c r="B68">
        <v>550</v>
      </c>
      <c r="C68">
        <v>460</v>
      </c>
      <c r="D68" t="str">
        <f t="shared" si="5"/>
        <v>501+</v>
      </c>
      <c r="E68">
        <f t="shared" si="6"/>
        <v>13</v>
      </c>
      <c r="F68" s="1">
        <f>INDEX('App-Click Conversion by Rank'!$K$12:$S$31,MATCH(E68,'App-Click Conversion by Rank'!$J$12:$J$31,0),MATCH(D68,'App-Click Conversion by Rank'!$K$11:$S$11,0))</f>
        <v>3.8179596823457542E-3</v>
      </c>
      <c r="G68" s="3">
        <f t="shared" si="7"/>
        <v>1.7562614538790469</v>
      </c>
      <c r="H68" s="5">
        <f t="shared" si="8"/>
        <v>22.831398900427608</v>
      </c>
      <c r="I68">
        <f t="shared" si="9"/>
        <v>5980</v>
      </c>
    </row>
    <row r="69" spans="1:9" x14ac:dyDescent="0.45">
      <c r="A69">
        <v>18</v>
      </c>
      <c r="B69">
        <v>450</v>
      </c>
      <c r="C69">
        <v>46</v>
      </c>
      <c r="D69">
        <f t="shared" si="5"/>
        <v>450</v>
      </c>
      <c r="E69">
        <f t="shared" si="6"/>
        <v>18</v>
      </c>
      <c r="F69" s="1">
        <f>INDEX('App-Click Conversion by Rank'!$K$12:$S$31,MATCH(E69,'App-Click Conversion by Rank'!$J$12:$J$31,0),MATCH(D69,'App-Click Conversion by Rank'!$K$11:$S$11,0))</f>
        <v>2.6493256262042388E-3</v>
      </c>
      <c r="G69" s="3">
        <f t="shared" si="7"/>
        <v>0.12186897880539499</v>
      </c>
      <c r="H69" s="5">
        <f t="shared" si="8"/>
        <v>2.1936416184971099</v>
      </c>
      <c r="I69">
        <f t="shared" si="9"/>
        <v>828</v>
      </c>
    </row>
    <row r="70" spans="1:9" x14ac:dyDescent="0.45">
      <c r="A70">
        <v>17</v>
      </c>
      <c r="B70">
        <v>600</v>
      </c>
      <c r="C70">
        <v>8</v>
      </c>
      <c r="D70" t="str">
        <f t="shared" si="5"/>
        <v>501+</v>
      </c>
      <c r="E70">
        <f t="shared" si="6"/>
        <v>17</v>
      </c>
      <c r="F70" s="1">
        <f>INDEX('App-Click Conversion by Rank'!$K$12:$S$31,MATCH(E70,'App-Click Conversion by Rank'!$J$12:$J$31,0),MATCH(D70,'App-Click Conversion by Rank'!$K$11:$S$11,0))</f>
        <v>2.660901380342591E-3</v>
      </c>
      <c r="G70" s="3">
        <f t="shared" si="7"/>
        <v>2.1287211042740728E-2</v>
      </c>
      <c r="H70" s="5">
        <f t="shared" si="8"/>
        <v>0.36188258772659238</v>
      </c>
      <c r="I70">
        <f t="shared" si="9"/>
        <v>136</v>
      </c>
    </row>
    <row r="71" spans="1:9" x14ac:dyDescent="0.45">
      <c r="A71">
        <v>6</v>
      </c>
      <c r="B71">
        <v>200</v>
      </c>
      <c r="C71">
        <v>7</v>
      </c>
      <c r="D71">
        <f t="shared" si="5"/>
        <v>200</v>
      </c>
      <c r="E71">
        <f t="shared" si="6"/>
        <v>6</v>
      </c>
      <c r="F71" s="1">
        <f>INDEX('App-Click Conversion by Rank'!$K$12:$S$31,MATCH(E71,'App-Click Conversion by Rank'!$J$12:$J$31,0),MATCH(D71,'App-Click Conversion by Rank'!$K$11:$S$11,0))</f>
        <v>3.486529318541997E-2</v>
      </c>
      <c r="G71" s="3">
        <f t="shared" si="7"/>
        <v>0.24405705229793978</v>
      </c>
      <c r="H71" s="5">
        <f t="shared" si="8"/>
        <v>1.4643423137876388</v>
      </c>
      <c r="I71">
        <f t="shared" si="9"/>
        <v>42</v>
      </c>
    </row>
    <row r="72" spans="1:9" x14ac:dyDescent="0.45">
      <c r="A72">
        <v>16</v>
      </c>
      <c r="B72">
        <v>400</v>
      </c>
      <c r="C72">
        <v>11</v>
      </c>
      <c r="D72">
        <f t="shared" si="5"/>
        <v>400</v>
      </c>
      <c r="E72">
        <f t="shared" si="6"/>
        <v>16</v>
      </c>
      <c r="F72" s="1">
        <f>INDEX('App-Click Conversion by Rank'!$K$12:$S$31,MATCH(E72,'App-Click Conversion by Rank'!$J$12:$J$31,0),MATCH(D72,'App-Click Conversion by Rank'!$K$11:$S$11,0))</f>
        <v>5.9880239520958087E-3</v>
      </c>
      <c r="G72" s="3">
        <f t="shared" si="7"/>
        <v>6.5868263473053898E-2</v>
      </c>
      <c r="H72" s="5">
        <f t="shared" si="8"/>
        <v>1.0538922155688624</v>
      </c>
      <c r="I72">
        <f t="shared" si="9"/>
        <v>176</v>
      </c>
    </row>
    <row r="73" spans="1:9" x14ac:dyDescent="0.45">
      <c r="A73">
        <v>5</v>
      </c>
      <c r="B73">
        <v>250</v>
      </c>
      <c r="C73">
        <v>28</v>
      </c>
      <c r="D73">
        <f t="shared" si="5"/>
        <v>250</v>
      </c>
      <c r="E73">
        <f t="shared" si="6"/>
        <v>5</v>
      </c>
      <c r="F73" s="1">
        <f>INDEX('App-Click Conversion by Rank'!$K$12:$S$31,MATCH(E73,'App-Click Conversion by Rank'!$J$12:$J$31,0),MATCH(D73,'App-Click Conversion by Rank'!$K$11:$S$11,0))</f>
        <v>5.772594752186589E-2</v>
      </c>
      <c r="G73" s="3">
        <f t="shared" si="7"/>
        <v>1.616326530612245</v>
      </c>
      <c r="H73" s="5">
        <f t="shared" si="8"/>
        <v>8.0816326530612255</v>
      </c>
      <c r="I73">
        <f t="shared" si="9"/>
        <v>140</v>
      </c>
    </row>
    <row r="74" spans="1:9" x14ac:dyDescent="0.45">
      <c r="A74">
        <v>38</v>
      </c>
      <c r="B74">
        <v>600</v>
      </c>
      <c r="C74">
        <v>4</v>
      </c>
      <c r="D74" t="str">
        <f t="shared" si="5"/>
        <v>501+</v>
      </c>
      <c r="E74" t="str">
        <f t="shared" si="6"/>
        <v>20+</v>
      </c>
      <c r="F74" s="1">
        <f>INDEX('App-Click Conversion by Rank'!$K$12:$S$31,MATCH(E74,'App-Click Conversion by Rank'!$J$12:$J$31,0),MATCH(D74,'App-Click Conversion by Rank'!$K$11:$S$11,0))</f>
        <v>5.9893958237873931E-3</v>
      </c>
      <c r="G74" s="3">
        <f t="shared" si="7"/>
        <v>2.3957583295149572E-2</v>
      </c>
      <c r="H74" s="5">
        <f t="shared" si="8"/>
        <v>0.91038816521568378</v>
      </c>
      <c r="I74">
        <f t="shared" si="9"/>
        <v>152</v>
      </c>
    </row>
    <row r="75" spans="1:9" x14ac:dyDescent="0.45">
      <c r="A75">
        <v>27</v>
      </c>
      <c r="B75">
        <v>450</v>
      </c>
      <c r="C75">
        <v>12</v>
      </c>
      <c r="D75">
        <f t="shared" si="5"/>
        <v>450</v>
      </c>
      <c r="E75" t="str">
        <f t="shared" si="6"/>
        <v>20+</v>
      </c>
      <c r="F75" s="1">
        <f>INDEX('App-Click Conversion by Rank'!$K$12:$S$31,MATCH(E75,'App-Click Conversion by Rank'!$J$12:$J$31,0),MATCH(D75,'App-Click Conversion by Rank'!$K$11:$S$11,0))</f>
        <v>5.6022408963585435E-3</v>
      </c>
      <c r="G75" s="3">
        <f t="shared" si="7"/>
        <v>6.7226890756302518E-2</v>
      </c>
      <c r="H75" s="5">
        <f t="shared" si="8"/>
        <v>1.8151260504201681</v>
      </c>
      <c r="I75">
        <f t="shared" si="9"/>
        <v>324</v>
      </c>
    </row>
    <row r="76" spans="1:9" x14ac:dyDescent="0.45">
      <c r="A76">
        <v>23</v>
      </c>
      <c r="B76">
        <v>400</v>
      </c>
      <c r="C76">
        <v>15</v>
      </c>
      <c r="D76">
        <f t="shared" si="5"/>
        <v>400</v>
      </c>
      <c r="E76" t="str">
        <f t="shared" si="6"/>
        <v>20+</v>
      </c>
      <c r="F76" s="1">
        <f>INDEX('App-Click Conversion by Rank'!$K$12:$S$31,MATCH(E76,'App-Click Conversion by Rank'!$J$12:$J$31,0),MATCH(D76,'App-Click Conversion by Rank'!$K$11:$S$11,0))</f>
        <v>6.4196625091709463E-3</v>
      </c>
      <c r="G76" s="3">
        <f t="shared" si="7"/>
        <v>9.6294937637564193E-2</v>
      </c>
      <c r="H76" s="5">
        <f t="shared" si="8"/>
        <v>2.2147835656639763</v>
      </c>
      <c r="I76">
        <f t="shared" si="9"/>
        <v>345</v>
      </c>
    </row>
    <row r="77" spans="1:9" x14ac:dyDescent="0.45">
      <c r="A77">
        <v>11</v>
      </c>
      <c r="B77">
        <v>250</v>
      </c>
      <c r="C77">
        <v>14</v>
      </c>
      <c r="D77">
        <f t="shared" si="5"/>
        <v>250</v>
      </c>
      <c r="E77">
        <f t="shared" si="6"/>
        <v>11</v>
      </c>
      <c r="F77" s="1">
        <f>INDEX('App-Click Conversion by Rank'!$K$12:$S$31,MATCH(E77,'App-Click Conversion by Rank'!$J$12:$J$31,0),MATCH(D77,'App-Click Conversion by Rank'!$K$11:$S$11,0))</f>
        <v>8.7463556851311956E-3</v>
      </c>
      <c r="G77" s="3">
        <f t="shared" si="7"/>
        <v>0.12244897959183673</v>
      </c>
      <c r="H77" s="5">
        <f t="shared" si="8"/>
        <v>1.346938775510204</v>
      </c>
      <c r="I77">
        <f t="shared" si="9"/>
        <v>154</v>
      </c>
    </row>
    <row r="78" spans="1:9" x14ac:dyDescent="0.45">
      <c r="A78">
        <v>1</v>
      </c>
      <c r="B78">
        <v>200</v>
      </c>
      <c r="C78">
        <v>2</v>
      </c>
      <c r="D78">
        <f t="shared" si="5"/>
        <v>200</v>
      </c>
      <c r="E78">
        <f t="shared" si="6"/>
        <v>1</v>
      </c>
      <c r="F78" s="1">
        <f>INDEX('App-Click Conversion by Rank'!$K$12:$S$31,MATCH(E78,'App-Click Conversion by Rank'!$J$12:$J$31,0),MATCH(D78,'App-Click Conversion by Rank'!$K$11:$S$11,0))</f>
        <v>0.3141025641025641</v>
      </c>
      <c r="G78" s="3">
        <f t="shared" si="7"/>
        <v>0.62820512820512819</v>
      </c>
      <c r="H78" s="5">
        <f t="shared" si="8"/>
        <v>0.62820512820512819</v>
      </c>
      <c r="I78">
        <f t="shared" si="9"/>
        <v>2</v>
      </c>
    </row>
    <row r="79" spans="1:9" x14ac:dyDescent="0.45">
      <c r="A79">
        <v>1</v>
      </c>
      <c r="B79">
        <v>250</v>
      </c>
      <c r="C79">
        <v>4</v>
      </c>
      <c r="D79">
        <f t="shared" si="5"/>
        <v>250</v>
      </c>
      <c r="E79">
        <f t="shared" si="6"/>
        <v>1</v>
      </c>
      <c r="F79" s="1">
        <f>INDEX('App-Click Conversion by Rank'!$K$12:$S$31,MATCH(E79,'App-Click Conversion by Rank'!$J$12:$J$31,0),MATCH(D79,'App-Click Conversion by Rank'!$K$11:$S$11,0))</f>
        <v>0.3187376725838264</v>
      </c>
      <c r="G79" s="3">
        <f t="shared" si="7"/>
        <v>1.2749506903353056</v>
      </c>
      <c r="H79" s="5">
        <f t="shared" si="8"/>
        <v>1.2749506903353056</v>
      </c>
      <c r="I79">
        <f t="shared" si="9"/>
        <v>4</v>
      </c>
    </row>
    <row r="80" spans="1:9" x14ac:dyDescent="0.45">
      <c r="A80">
        <v>3</v>
      </c>
      <c r="B80">
        <v>0</v>
      </c>
      <c r="C80">
        <v>1</v>
      </c>
      <c r="D80" t="str">
        <f t="shared" si="5"/>
        <v>&lt;=150</v>
      </c>
      <c r="E80">
        <f t="shared" si="6"/>
        <v>3</v>
      </c>
      <c r="F80" s="1">
        <f>INDEX('App-Click Conversion by Rank'!$K$12:$S$31,MATCH(E80,'App-Click Conversion by Rank'!$J$12:$J$31,0),MATCH(D80,'App-Click Conversion by Rank'!$K$11:$S$11,0))</f>
        <v>9.8360655737704916E-2</v>
      </c>
      <c r="G80" s="3">
        <f t="shared" si="7"/>
        <v>9.8360655737704916E-2</v>
      </c>
      <c r="H80" s="5">
        <f t="shared" si="8"/>
        <v>0.29508196721311475</v>
      </c>
      <c r="I80">
        <f t="shared" si="9"/>
        <v>3</v>
      </c>
    </row>
    <row r="81" spans="1:9" x14ac:dyDescent="0.45">
      <c r="A81">
        <v>18</v>
      </c>
      <c r="B81">
        <v>300</v>
      </c>
      <c r="C81">
        <v>1</v>
      </c>
      <c r="D81">
        <f t="shared" si="5"/>
        <v>300</v>
      </c>
      <c r="E81">
        <f t="shared" si="6"/>
        <v>18</v>
      </c>
      <c r="F81" s="1">
        <f>INDEX('App-Click Conversion by Rank'!$K$12:$S$31,MATCH(E81,'App-Click Conversion by Rank'!$J$12:$J$31,0),MATCH(D81,'App-Click Conversion by Rank'!$K$11:$S$11,0))</f>
        <v>5.8708414872798431E-3</v>
      </c>
      <c r="G81" s="3">
        <f t="shared" si="7"/>
        <v>5.8708414872798431E-3</v>
      </c>
      <c r="H81" s="5">
        <f t="shared" si="8"/>
        <v>0.10567514677103718</v>
      </c>
      <c r="I81">
        <f t="shared" si="9"/>
        <v>18</v>
      </c>
    </row>
    <row r="82" spans="1:9" x14ac:dyDescent="0.45">
      <c r="A82">
        <v>16</v>
      </c>
      <c r="B82">
        <v>250</v>
      </c>
      <c r="C82">
        <v>2</v>
      </c>
      <c r="D82">
        <f t="shared" si="5"/>
        <v>250</v>
      </c>
      <c r="E82">
        <f t="shared" si="6"/>
        <v>16</v>
      </c>
      <c r="F82" s="1">
        <f>INDEX('App-Click Conversion by Rank'!$K$12:$S$31,MATCH(E82,'App-Click Conversion by Rank'!$J$12:$J$31,0),MATCH(D82,'App-Click Conversion by Rank'!$K$11:$S$11,0))</f>
        <v>8.5836909871244635E-3</v>
      </c>
      <c r="G82" s="3">
        <f t="shared" si="7"/>
        <v>1.7167381974248927E-2</v>
      </c>
      <c r="H82" s="5">
        <f t="shared" si="8"/>
        <v>0.27467811158798283</v>
      </c>
      <c r="I82">
        <f t="shared" si="9"/>
        <v>32</v>
      </c>
    </row>
    <row r="83" spans="1:9" x14ac:dyDescent="0.45">
      <c r="A83">
        <v>5</v>
      </c>
      <c r="B83">
        <v>200</v>
      </c>
      <c r="C83">
        <v>3</v>
      </c>
      <c r="D83">
        <f t="shared" si="5"/>
        <v>200</v>
      </c>
      <c r="E83">
        <f t="shared" si="6"/>
        <v>5</v>
      </c>
      <c r="F83" s="1">
        <f>INDEX('App-Click Conversion by Rank'!$K$12:$S$31,MATCH(E83,'App-Click Conversion by Rank'!$J$12:$J$31,0),MATCH(D83,'App-Click Conversion by Rank'!$K$11:$S$11,0))</f>
        <v>5.2173913043478258E-2</v>
      </c>
      <c r="G83" s="3">
        <f t="shared" si="7"/>
        <v>0.15652173913043477</v>
      </c>
      <c r="H83" s="5">
        <f t="shared" si="8"/>
        <v>0.78260869565217384</v>
      </c>
      <c r="I83">
        <f t="shared" si="9"/>
        <v>15</v>
      </c>
    </row>
    <row r="84" spans="1:9" x14ac:dyDescent="0.45">
      <c r="A84">
        <v>15</v>
      </c>
      <c r="B84">
        <v>200</v>
      </c>
      <c r="C84">
        <v>2</v>
      </c>
      <c r="D84">
        <f t="shared" si="5"/>
        <v>200</v>
      </c>
      <c r="E84">
        <f t="shared" si="6"/>
        <v>15</v>
      </c>
      <c r="F84" s="1">
        <f>INDEX('App-Click Conversion by Rank'!$K$12:$S$31,MATCH(E84,'App-Click Conversion by Rank'!$J$12:$J$31,0),MATCH(D84,'App-Click Conversion by Rank'!$K$11:$S$11,0))</f>
        <v>1.1627906976744186E-2</v>
      </c>
      <c r="G84" s="3">
        <f t="shared" si="7"/>
        <v>2.3255813953488372E-2</v>
      </c>
      <c r="H84" s="5">
        <f t="shared" si="8"/>
        <v>0.34883720930232559</v>
      </c>
      <c r="I84">
        <f t="shared" si="9"/>
        <v>30</v>
      </c>
    </row>
    <row r="85" spans="1:9" x14ac:dyDescent="0.45">
      <c r="A85">
        <v>6</v>
      </c>
      <c r="B85">
        <v>400</v>
      </c>
      <c r="C85">
        <v>270</v>
      </c>
      <c r="D85">
        <f t="shared" si="5"/>
        <v>400</v>
      </c>
      <c r="E85">
        <f t="shared" si="6"/>
        <v>6</v>
      </c>
      <c r="F85" s="1">
        <f>INDEX('App-Click Conversion by Rank'!$K$12:$S$31,MATCH(E85,'App-Click Conversion by Rank'!$J$12:$J$31,0),MATCH(D85,'App-Click Conversion by Rank'!$K$11:$S$11,0))</f>
        <v>2.3052741879147746E-2</v>
      </c>
      <c r="G85" s="3">
        <f t="shared" si="7"/>
        <v>6.2242403073698913</v>
      </c>
      <c r="H85" s="5">
        <f t="shared" si="8"/>
        <v>37.345441844219351</v>
      </c>
      <c r="I85">
        <f t="shared" si="9"/>
        <v>1620</v>
      </c>
    </row>
    <row r="86" spans="1:9" x14ac:dyDescent="0.45">
      <c r="A86">
        <v>19</v>
      </c>
      <c r="B86">
        <v>500</v>
      </c>
      <c r="C86">
        <v>142</v>
      </c>
      <c r="D86">
        <f t="shared" si="5"/>
        <v>500</v>
      </c>
      <c r="E86">
        <f t="shared" si="6"/>
        <v>19</v>
      </c>
      <c r="F86" s="1">
        <f>INDEX('App-Click Conversion by Rank'!$K$12:$S$31,MATCH(E86,'App-Click Conversion by Rank'!$J$12:$J$31,0),MATCH(D86,'App-Click Conversion by Rank'!$K$11:$S$11,0))</f>
        <v>3.4848724853476952E-3</v>
      </c>
      <c r="G86" s="3">
        <f t="shared" si="7"/>
        <v>0.4948518929193727</v>
      </c>
      <c r="H86" s="5">
        <f t="shared" si="8"/>
        <v>9.4021859654680817</v>
      </c>
      <c r="I86">
        <f t="shared" si="9"/>
        <v>2698</v>
      </c>
    </row>
    <row r="87" spans="1:9" x14ac:dyDescent="0.45">
      <c r="A87">
        <v>12</v>
      </c>
      <c r="B87">
        <v>500</v>
      </c>
      <c r="C87">
        <v>609</v>
      </c>
      <c r="D87">
        <f t="shared" si="5"/>
        <v>500</v>
      </c>
      <c r="E87">
        <f t="shared" si="6"/>
        <v>12</v>
      </c>
      <c r="F87" s="1">
        <f>INDEX('App-Click Conversion by Rank'!$K$12:$S$31,MATCH(E87,'App-Click Conversion by Rank'!$J$12:$J$31,0),MATCH(D87,'App-Click Conversion by Rank'!$K$11:$S$11,0))</f>
        <v>3.7671649046056629E-3</v>
      </c>
      <c r="G87" s="3">
        <f t="shared" si="7"/>
        <v>2.2942034269048488</v>
      </c>
      <c r="H87" s="5">
        <f t="shared" si="8"/>
        <v>27.530441122858186</v>
      </c>
      <c r="I87">
        <f t="shared" si="9"/>
        <v>7308</v>
      </c>
    </row>
    <row r="88" spans="1:9" x14ac:dyDescent="0.45">
      <c r="A88">
        <v>12</v>
      </c>
      <c r="B88">
        <v>550</v>
      </c>
      <c r="C88">
        <v>385</v>
      </c>
      <c r="D88" t="str">
        <f t="shared" si="5"/>
        <v>501+</v>
      </c>
      <c r="E88">
        <f t="shared" si="6"/>
        <v>12</v>
      </c>
      <c r="F88" s="1">
        <f>INDEX('App-Click Conversion by Rank'!$K$12:$S$31,MATCH(E88,'App-Click Conversion by Rank'!$J$12:$J$31,0),MATCH(D88,'App-Click Conversion by Rank'!$K$11:$S$11,0))</f>
        <v>4.3071439180157435E-3</v>
      </c>
      <c r="G88" s="3">
        <f t="shared" si="7"/>
        <v>1.6582504084360612</v>
      </c>
      <c r="H88" s="5">
        <f t="shared" si="8"/>
        <v>19.899004901232736</v>
      </c>
      <c r="I88">
        <f t="shared" si="9"/>
        <v>4620</v>
      </c>
    </row>
    <row r="89" spans="1:9" x14ac:dyDescent="0.45">
      <c r="A89">
        <v>4</v>
      </c>
      <c r="B89">
        <v>400</v>
      </c>
      <c r="C89">
        <v>222</v>
      </c>
      <c r="D89">
        <f t="shared" si="5"/>
        <v>400</v>
      </c>
      <c r="E89">
        <f t="shared" si="6"/>
        <v>4</v>
      </c>
      <c r="F89" s="1">
        <f>INDEX('App-Click Conversion by Rank'!$K$12:$S$31,MATCH(E89,'App-Click Conversion by Rank'!$J$12:$J$31,0),MATCH(D89,'App-Click Conversion by Rank'!$K$11:$S$11,0))</f>
        <v>4.4208524797971792E-2</v>
      </c>
      <c r="G89" s="3">
        <f t="shared" si="7"/>
        <v>9.8142925051497372</v>
      </c>
      <c r="H89" s="5">
        <f t="shared" si="8"/>
        <v>39.257170020598949</v>
      </c>
      <c r="I89">
        <f t="shared" si="9"/>
        <v>888</v>
      </c>
    </row>
    <row r="90" spans="1:9" x14ac:dyDescent="0.45">
      <c r="A90">
        <v>19</v>
      </c>
      <c r="B90">
        <v>550</v>
      </c>
      <c r="C90">
        <v>90</v>
      </c>
      <c r="D90" t="str">
        <f t="shared" si="5"/>
        <v>501+</v>
      </c>
      <c r="E90">
        <f t="shared" si="6"/>
        <v>19</v>
      </c>
      <c r="F90" s="1">
        <f>INDEX('App-Click Conversion by Rank'!$K$12:$S$31,MATCH(E90,'App-Click Conversion by Rank'!$J$12:$J$31,0),MATCH(D90,'App-Click Conversion by Rank'!$K$11:$S$11,0))</f>
        <v>2.8030833917309038E-3</v>
      </c>
      <c r="G90" s="3">
        <f t="shared" si="7"/>
        <v>0.25227750525578135</v>
      </c>
      <c r="H90" s="5">
        <f t="shared" si="8"/>
        <v>4.7932725998598453</v>
      </c>
      <c r="I90">
        <f t="shared" si="9"/>
        <v>1710</v>
      </c>
    </row>
    <row r="91" spans="1:9" x14ac:dyDescent="0.45">
      <c r="A91">
        <v>7</v>
      </c>
      <c r="B91">
        <v>400</v>
      </c>
      <c r="C91">
        <v>275</v>
      </c>
      <c r="D91">
        <f t="shared" si="5"/>
        <v>400</v>
      </c>
      <c r="E91">
        <f t="shared" si="6"/>
        <v>7</v>
      </c>
      <c r="F91" s="1">
        <f>INDEX('App-Click Conversion by Rank'!$K$12:$S$31,MATCH(E91,'App-Click Conversion by Rank'!$J$12:$J$31,0),MATCH(D91,'App-Click Conversion by Rank'!$K$11:$S$11,0))</f>
        <v>1.7432358816052297E-2</v>
      </c>
      <c r="G91" s="3">
        <f t="shared" si="7"/>
        <v>4.7938986744143817</v>
      </c>
      <c r="H91" s="5">
        <f t="shared" si="8"/>
        <v>33.557290720900674</v>
      </c>
      <c r="I91">
        <f t="shared" si="9"/>
        <v>1925</v>
      </c>
    </row>
    <row r="92" spans="1:9" x14ac:dyDescent="0.45">
      <c r="A92">
        <v>29</v>
      </c>
      <c r="B92">
        <v>550</v>
      </c>
      <c r="C92">
        <v>67</v>
      </c>
      <c r="D92" t="str">
        <f t="shared" si="5"/>
        <v>501+</v>
      </c>
      <c r="E92" t="str">
        <f t="shared" si="6"/>
        <v>20+</v>
      </c>
      <c r="F92" s="1">
        <f>INDEX('App-Click Conversion by Rank'!$K$12:$S$31,MATCH(E92,'App-Click Conversion by Rank'!$J$12:$J$31,0),MATCH(D92,'App-Click Conversion by Rank'!$K$11:$S$11,0))</f>
        <v>5.9893958237873931E-3</v>
      </c>
      <c r="G92" s="3">
        <f t="shared" si="7"/>
        <v>0.40128952019375536</v>
      </c>
      <c r="H92" s="5">
        <f t="shared" si="8"/>
        <v>11.637396085618905</v>
      </c>
      <c r="I92">
        <f t="shared" si="9"/>
        <v>1943</v>
      </c>
    </row>
    <row r="93" spans="1:9" x14ac:dyDescent="0.45">
      <c r="A93">
        <v>9</v>
      </c>
      <c r="B93">
        <v>400</v>
      </c>
      <c r="C93">
        <v>239</v>
      </c>
      <c r="D93">
        <f t="shared" si="5"/>
        <v>400</v>
      </c>
      <c r="E93">
        <f t="shared" si="6"/>
        <v>9</v>
      </c>
      <c r="F93" s="1">
        <f>INDEX('App-Click Conversion by Rank'!$K$12:$S$31,MATCH(E93,'App-Click Conversion by Rank'!$J$12:$J$31,0),MATCH(D93,'App-Click Conversion by Rank'!$K$11:$S$11,0))</f>
        <v>1.1405207660856467E-2</v>
      </c>
      <c r="G93" s="3">
        <f t="shared" si="7"/>
        <v>2.7258446309446955</v>
      </c>
      <c r="H93" s="5">
        <f t="shared" si="8"/>
        <v>24.53260167850226</v>
      </c>
      <c r="I93">
        <f t="shared" si="9"/>
        <v>2151</v>
      </c>
    </row>
    <row r="94" spans="1:9" x14ac:dyDescent="0.45">
      <c r="A94">
        <v>13</v>
      </c>
      <c r="B94">
        <v>450</v>
      </c>
      <c r="C94">
        <v>336</v>
      </c>
      <c r="D94">
        <f t="shared" si="5"/>
        <v>450</v>
      </c>
      <c r="E94">
        <f t="shared" si="6"/>
        <v>13</v>
      </c>
      <c r="F94" s="1">
        <f>INDEX('App-Click Conversion by Rank'!$K$12:$S$31,MATCH(E94,'App-Click Conversion by Rank'!$J$12:$J$31,0),MATCH(D94,'App-Click Conversion by Rank'!$K$11:$S$11,0))</f>
        <v>3.8468583989741713E-3</v>
      </c>
      <c r="G94" s="3">
        <f t="shared" si="7"/>
        <v>1.2925444220553215</v>
      </c>
      <c r="H94" s="5">
        <f t="shared" si="8"/>
        <v>16.803077486719179</v>
      </c>
      <c r="I94">
        <f t="shared" si="9"/>
        <v>4368</v>
      </c>
    </row>
    <row r="95" spans="1:9" x14ac:dyDescent="0.45">
      <c r="A95">
        <v>2</v>
      </c>
      <c r="B95">
        <v>400</v>
      </c>
      <c r="C95">
        <v>145</v>
      </c>
      <c r="D95">
        <f t="shared" si="5"/>
        <v>400</v>
      </c>
      <c r="E95">
        <f t="shared" si="6"/>
        <v>2</v>
      </c>
      <c r="F95" s="1">
        <f>INDEX('App-Click Conversion by Rank'!$K$12:$S$31,MATCH(E95,'App-Click Conversion by Rank'!$J$12:$J$31,0),MATCH(D95,'App-Click Conversion by Rank'!$K$11:$S$11,0))</f>
        <v>8.940352766931467E-2</v>
      </c>
      <c r="G95" s="3">
        <f t="shared" si="7"/>
        <v>12.963511512050626</v>
      </c>
      <c r="H95" s="5">
        <f t="shared" si="8"/>
        <v>25.927023024101253</v>
      </c>
      <c r="I95">
        <f t="shared" si="9"/>
        <v>290</v>
      </c>
    </row>
    <row r="96" spans="1:9" x14ac:dyDescent="0.45">
      <c r="A96">
        <v>3</v>
      </c>
      <c r="B96">
        <v>600</v>
      </c>
      <c r="C96">
        <v>17</v>
      </c>
      <c r="D96" t="str">
        <f t="shared" si="5"/>
        <v>501+</v>
      </c>
      <c r="E96">
        <f t="shared" si="6"/>
        <v>3</v>
      </c>
      <c r="F96" s="1">
        <f>INDEX('App-Click Conversion by Rank'!$K$12:$S$31,MATCH(E96,'App-Click Conversion by Rank'!$J$12:$J$31,0),MATCH(D96,'App-Click Conversion by Rank'!$K$11:$S$11,0))</f>
        <v>4.4627885979620793E-2</v>
      </c>
      <c r="G96" s="3">
        <f t="shared" si="7"/>
        <v>0.75867406165355344</v>
      </c>
      <c r="H96" s="5">
        <f t="shared" si="8"/>
        <v>2.2760221849606603</v>
      </c>
      <c r="I96">
        <f t="shared" si="9"/>
        <v>51</v>
      </c>
    </row>
    <row r="97" spans="1:9" x14ac:dyDescent="0.45">
      <c r="A97">
        <v>18</v>
      </c>
      <c r="B97">
        <v>550</v>
      </c>
      <c r="C97">
        <v>97</v>
      </c>
      <c r="D97" t="str">
        <f t="shared" si="5"/>
        <v>501+</v>
      </c>
      <c r="E97">
        <f t="shared" si="6"/>
        <v>18</v>
      </c>
      <c r="F97" s="1">
        <f>INDEX('App-Click Conversion by Rank'!$K$12:$S$31,MATCH(E97,'App-Click Conversion by Rank'!$J$12:$J$31,0),MATCH(D97,'App-Click Conversion by Rank'!$K$11:$S$11,0))</f>
        <v>2.0408163265306124E-3</v>
      </c>
      <c r="G97" s="3">
        <f t="shared" si="7"/>
        <v>0.1979591836734694</v>
      </c>
      <c r="H97" s="5">
        <f t="shared" si="8"/>
        <v>3.5632653061224491</v>
      </c>
      <c r="I97">
        <f t="shared" si="9"/>
        <v>1746</v>
      </c>
    </row>
    <row r="98" spans="1:9" x14ac:dyDescent="0.45">
      <c r="A98">
        <v>40</v>
      </c>
      <c r="B98">
        <v>650</v>
      </c>
      <c r="C98">
        <v>1</v>
      </c>
      <c r="D98" t="str">
        <f t="shared" si="5"/>
        <v>501+</v>
      </c>
      <c r="E98" t="str">
        <f t="shared" si="6"/>
        <v>20+</v>
      </c>
      <c r="F98" s="1">
        <f>INDEX('App-Click Conversion by Rank'!$K$12:$S$31,MATCH(E98,'App-Click Conversion by Rank'!$J$12:$J$31,0),MATCH(D98,'App-Click Conversion by Rank'!$K$11:$S$11,0))</f>
        <v>5.9893958237873931E-3</v>
      </c>
      <c r="G98" s="3">
        <f t="shared" si="7"/>
        <v>5.9893958237873931E-3</v>
      </c>
      <c r="H98" s="5">
        <f t="shared" si="8"/>
        <v>0.23957583295149573</v>
      </c>
      <c r="I98">
        <f t="shared" si="9"/>
        <v>40</v>
      </c>
    </row>
    <row r="99" spans="1:9" x14ac:dyDescent="0.45">
      <c r="A99">
        <v>19</v>
      </c>
      <c r="B99">
        <v>450</v>
      </c>
      <c r="C99">
        <v>74</v>
      </c>
      <c r="D99">
        <f t="shared" si="5"/>
        <v>450</v>
      </c>
      <c r="E99">
        <f t="shared" si="6"/>
        <v>19</v>
      </c>
      <c r="F99" s="1">
        <f>INDEX('App-Click Conversion by Rank'!$K$12:$S$31,MATCH(E99,'App-Click Conversion by Rank'!$J$12:$J$31,0),MATCH(D99,'App-Click Conversion by Rank'!$K$11:$S$11,0))</f>
        <v>2.8593709383935534E-3</v>
      </c>
      <c r="G99" s="3">
        <f t="shared" si="7"/>
        <v>0.21159344944112296</v>
      </c>
      <c r="H99" s="5">
        <f t="shared" si="8"/>
        <v>4.0202755393813359</v>
      </c>
      <c r="I99">
        <f t="shared" si="9"/>
        <v>1406</v>
      </c>
    </row>
    <row r="100" spans="1:9" x14ac:dyDescent="0.45">
      <c r="A100">
        <v>8</v>
      </c>
      <c r="B100">
        <v>300</v>
      </c>
      <c r="C100">
        <v>82</v>
      </c>
      <c r="D100">
        <f t="shared" si="5"/>
        <v>300</v>
      </c>
      <c r="E100">
        <f t="shared" si="6"/>
        <v>8</v>
      </c>
      <c r="F100" s="1">
        <f>INDEX('App-Click Conversion by Rank'!$K$12:$S$31,MATCH(E100,'App-Click Conversion by Rank'!$J$12:$J$31,0),MATCH(D100,'App-Click Conversion by Rank'!$K$11:$S$11,0))</f>
        <v>2.3454157782515993E-2</v>
      </c>
      <c r="G100" s="3">
        <f t="shared" si="7"/>
        <v>1.9232409381663114</v>
      </c>
      <c r="H100" s="5">
        <f t="shared" si="8"/>
        <v>15.385927505330491</v>
      </c>
      <c r="I100">
        <f t="shared" si="9"/>
        <v>656</v>
      </c>
    </row>
    <row r="101" spans="1:9" x14ac:dyDescent="0.45">
      <c r="A101">
        <v>10</v>
      </c>
      <c r="B101">
        <v>600</v>
      </c>
      <c r="C101">
        <v>24</v>
      </c>
      <c r="D101" t="str">
        <f t="shared" si="5"/>
        <v>501+</v>
      </c>
      <c r="E101">
        <f t="shared" si="6"/>
        <v>10</v>
      </c>
      <c r="F101" s="1">
        <f>INDEX('App-Click Conversion by Rank'!$K$12:$S$31,MATCH(E101,'App-Click Conversion by Rank'!$J$12:$J$31,0),MATCH(D101,'App-Click Conversion by Rank'!$K$11:$S$11,0))</f>
        <v>7.1592210767468497E-3</v>
      </c>
      <c r="G101" s="3">
        <f t="shared" si="7"/>
        <v>0.1718213058419244</v>
      </c>
      <c r="H101" s="5">
        <f t="shared" si="8"/>
        <v>1.7182130584192441</v>
      </c>
      <c r="I101">
        <f t="shared" si="9"/>
        <v>240</v>
      </c>
    </row>
    <row r="102" spans="1:9" x14ac:dyDescent="0.45">
      <c r="A102">
        <v>6</v>
      </c>
      <c r="B102">
        <v>100</v>
      </c>
      <c r="C102">
        <v>2</v>
      </c>
      <c r="D102" t="str">
        <f t="shared" si="5"/>
        <v>&lt;=150</v>
      </c>
      <c r="E102">
        <f t="shared" si="6"/>
        <v>6</v>
      </c>
      <c r="F102" s="1">
        <f>INDEX('App-Click Conversion by Rank'!$K$12:$S$31,MATCH(E102,'App-Click Conversion by Rank'!$J$12:$J$31,0),MATCH(D102,'App-Click Conversion by Rank'!$K$11:$S$11,0))</f>
        <v>6.25E-2</v>
      </c>
      <c r="G102" s="3">
        <f t="shared" si="7"/>
        <v>0.125</v>
      </c>
      <c r="H102" s="5">
        <f t="shared" si="8"/>
        <v>0.75</v>
      </c>
      <c r="I102">
        <f t="shared" si="9"/>
        <v>12</v>
      </c>
    </row>
    <row r="103" spans="1:9" x14ac:dyDescent="0.45">
      <c r="A103">
        <v>3</v>
      </c>
      <c r="B103">
        <v>150</v>
      </c>
      <c r="C103">
        <v>10</v>
      </c>
      <c r="D103" t="str">
        <f t="shared" si="5"/>
        <v>&lt;=150</v>
      </c>
      <c r="E103">
        <f t="shared" si="6"/>
        <v>3</v>
      </c>
      <c r="F103" s="1">
        <f>INDEX('App-Click Conversion by Rank'!$K$12:$S$31,MATCH(E103,'App-Click Conversion by Rank'!$J$12:$J$31,0),MATCH(D103,'App-Click Conversion by Rank'!$K$11:$S$11,0))</f>
        <v>9.8360655737704916E-2</v>
      </c>
      <c r="G103" s="3">
        <f t="shared" si="7"/>
        <v>0.98360655737704916</v>
      </c>
      <c r="H103" s="5">
        <f t="shared" si="8"/>
        <v>2.9508196721311473</v>
      </c>
      <c r="I103">
        <f t="shared" si="9"/>
        <v>30</v>
      </c>
    </row>
    <row r="104" spans="1:9" x14ac:dyDescent="0.45">
      <c r="A104">
        <v>29</v>
      </c>
      <c r="B104">
        <v>450</v>
      </c>
      <c r="C104">
        <v>11</v>
      </c>
      <c r="D104">
        <f t="shared" si="5"/>
        <v>450</v>
      </c>
      <c r="E104" t="str">
        <f t="shared" si="6"/>
        <v>20+</v>
      </c>
      <c r="F104" s="1">
        <f>INDEX('App-Click Conversion by Rank'!$K$12:$S$31,MATCH(E104,'App-Click Conversion by Rank'!$J$12:$J$31,0),MATCH(D104,'App-Click Conversion by Rank'!$K$11:$S$11,0))</f>
        <v>5.6022408963585435E-3</v>
      </c>
      <c r="G104" s="3">
        <f t="shared" si="7"/>
        <v>6.1624649859943981E-2</v>
      </c>
      <c r="H104" s="5">
        <f t="shared" si="8"/>
        <v>1.7871148459383754</v>
      </c>
      <c r="I104">
        <f t="shared" si="9"/>
        <v>319</v>
      </c>
    </row>
    <row r="105" spans="1:9" x14ac:dyDescent="0.45">
      <c r="A105">
        <v>10</v>
      </c>
      <c r="B105">
        <v>150</v>
      </c>
      <c r="C105">
        <v>1</v>
      </c>
      <c r="D105" t="str">
        <f t="shared" si="5"/>
        <v>&lt;=150</v>
      </c>
      <c r="E105">
        <f t="shared" si="6"/>
        <v>10</v>
      </c>
      <c r="F105" s="1">
        <f>INDEX('App-Click Conversion by Rank'!$K$12:$S$31,MATCH(E105,'App-Click Conversion by Rank'!$J$12:$J$31,0),MATCH(D105,'App-Click Conversion by Rank'!$K$11:$S$11,0))</f>
        <v>1.3333333333333334E-2</v>
      </c>
      <c r="G105" s="3">
        <f t="shared" si="7"/>
        <v>1.3333333333333334E-2</v>
      </c>
      <c r="H105" s="5">
        <f t="shared" si="8"/>
        <v>0.13333333333333333</v>
      </c>
      <c r="I105">
        <f t="shared" si="9"/>
        <v>10</v>
      </c>
    </row>
    <row r="106" spans="1:9" x14ac:dyDescent="0.45">
      <c r="A106">
        <v>39</v>
      </c>
      <c r="B106">
        <v>550</v>
      </c>
      <c r="C106">
        <v>7</v>
      </c>
      <c r="D106" t="str">
        <f t="shared" si="5"/>
        <v>501+</v>
      </c>
      <c r="E106" t="str">
        <f t="shared" si="6"/>
        <v>20+</v>
      </c>
      <c r="F106" s="1">
        <f>INDEX('App-Click Conversion by Rank'!$K$12:$S$31,MATCH(E106,'App-Click Conversion by Rank'!$J$12:$J$31,0),MATCH(D106,'App-Click Conversion by Rank'!$K$11:$S$11,0))</f>
        <v>5.9893958237873931E-3</v>
      </c>
      <c r="G106" s="3">
        <f t="shared" si="7"/>
        <v>4.1925770766511751E-2</v>
      </c>
      <c r="H106" s="5">
        <f t="shared" si="8"/>
        <v>1.6351050598939583</v>
      </c>
      <c r="I106">
        <f t="shared" si="9"/>
        <v>273</v>
      </c>
    </row>
    <row r="107" spans="1:9" x14ac:dyDescent="0.45">
      <c r="A107">
        <v>21</v>
      </c>
      <c r="B107">
        <v>500</v>
      </c>
      <c r="C107">
        <v>153</v>
      </c>
      <c r="D107">
        <f t="shared" si="5"/>
        <v>500</v>
      </c>
      <c r="E107" t="str">
        <f t="shared" si="6"/>
        <v>20+</v>
      </c>
      <c r="F107" s="1">
        <f>INDEX('App-Click Conversion by Rank'!$K$12:$S$31,MATCH(E107,'App-Click Conversion by Rank'!$J$12:$J$31,0),MATCH(D107,'App-Click Conversion by Rank'!$K$11:$S$11,0))</f>
        <v>5.1121544079290558E-3</v>
      </c>
      <c r="G107" s="3">
        <f t="shared" si="7"/>
        <v>0.78215962441314557</v>
      </c>
      <c r="H107" s="5">
        <f t="shared" si="8"/>
        <v>16.425352112676055</v>
      </c>
      <c r="I107">
        <f t="shared" si="9"/>
        <v>3213</v>
      </c>
    </row>
    <row r="108" spans="1:9" x14ac:dyDescent="0.45">
      <c r="A108">
        <v>6</v>
      </c>
      <c r="B108">
        <v>550</v>
      </c>
      <c r="C108">
        <v>113</v>
      </c>
      <c r="D108" t="str">
        <f t="shared" si="5"/>
        <v>501+</v>
      </c>
      <c r="E108">
        <f t="shared" si="6"/>
        <v>6</v>
      </c>
      <c r="F108" s="1">
        <f>INDEX('App-Click Conversion by Rank'!$K$12:$S$31,MATCH(E108,'App-Click Conversion by Rank'!$J$12:$J$31,0),MATCH(D108,'App-Click Conversion by Rank'!$K$11:$S$11,0))</f>
        <v>2.4383744170552963E-2</v>
      </c>
      <c r="G108" s="3">
        <f t="shared" si="7"/>
        <v>2.7553630912724847</v>
      </c>
      <c r="H108" s="5">
        <f t="shared" si="8"/>
        <v>16.532178547634906</v>
      </c>
      <c r="I108">
        <f t="shared" si="9"/>
        <v>678</v>
      </c>
    </row>
    <row r="109" spans="1:9" x14ac:dyDescent="0.45">
      <c r="A109">
        <v>3</v>
      </c>
      <c r="B109">
        <v>500</v>
      </c>
      <c r="C109">
        <v>481</v>
      </c>
      <c r="D109">
        <f t="shared" si="5"/>
        <v>500</v>
      </c>
      <c r="E109">
        <f t="shared" si="6"/>
        <v>3</v>
      </c>
      <c r="F109" s="1">
        <f>INDEX('App-Click Conversion by Rank'!$K$12:$S$31,MATCH(E109,'App-Click Conversion by Rank'!$J$12:$J$31,0),MATCH(D109,'App-Click Conversion by Rank'!$K$11:$S$11,0))</f>
        <v>4.693648116919618E-2</v>
      </c>
      <c r="G109" s="3">
        <f t="shared" si="7"/>
        <v>22.576447442383362</v>
      </c>
      <c r="H109" s="5">
        <f t="shared" si="8"/>
        <v>67.729342327150079</v>
      </c>
      <c r="I109">
        <f t="shared" si="9"/>
        <v>1443</v>
      </c>
    </row>
    <row r="110" spans="1:9" x14ac:dyDescent="0.45">
      <c r="A110">
        <v>8</v>
      </c>
      <c r="B110">
        <v>400</v>
      </c>
      <c r="C110">
        <v>302</v>
      </c>
      <c r="D110">
        <f t="shared" ref="D110" si="10">IF(B110&lt;=150,"&lt;=150",IF(B110&gt;500,"501+",B110))</f>
        <v>400</v>
      </c>
      <c r="E110">
        <f t="shared" ref="E110" si="11">IF(A110&gt;=20,"20+",A110)</f>
        <v>8</v>
      </c>
      <c r="F110" s="1">
        <f>INDEX('App-Click Conversion by Rank'!$K$12:$S$31,MATCH(E110,'App-Click Conversion by Rank'!$J$12:$J$31,0),MATCH(D110,'App-Click Conversion by Rank'!$K$11:$S$11,0))</f>
        <v>1.1600471883602045E-2</v>
      </c>
      <c r="G110" s="3">
        <f t="shared" ref="G110" si="12">C110*F110</f>
        <v>3.5033425088478176</v>
      </c>
      <c r="H110" s="5">
        <f t="shared" ref="H110" si="13">G110*A110</f>
        <v>28.026740070782541</v>
      </c>
      <c r="I110">
        <f t="shared" si="9"/>
        <v>2416</v>
      </c>
    </row>
    <row r="111" spans="1:9" x14ac:dyDescent="0.45">
      <c r="A111">
        <v>2</v>
      </c>
      <c r="B111">
        <v>550</v>
      </c>
      <c r="C111">
        <v>39</v>
      </c>
      <c r="D111" t="str">
        <f t="shared" ref="D111:D174" si="14">IF(B111&lt;=150,"&lt;=150",IF(B111&gt;500,"501+",B111))</f>
        <v>501+</v>
      </c>
      <c r="E111">
        <f t="shared" ref="E111:E174" si="15">IF(A111&gt;=20,"20+",A111)</f>
        <v>2</v>
      </c>
      <c r="F111" s="1">
        <f>INDEX('App-Click Conversion by Rank'!$K$12:$S$31,MATCH(E111,'App-Click Conversion by Rank'!$J$12:$J$31,0),MATCH(D111,'App-Click Conversion by Rank'!$K$11:$S$11,0))</f>
        <v>7.5343344885123856E-2</v>
      </c>
      <c r="G111" s="3">
        <f t="shared" ref="G111:G174" si="16">C111*F111</f>
        <v>2.9383904505198304</v>
      </c>
      <c r="H111" s="5">
        <f t="shared" ref="H111:H174" si="17">G111*A111</f>
        <v>5.8767809010396608</v>
      </c>
      <c r="I111">
        <f t="shared" ref="I111:I174" si="18">C111*A111</f>
        <v>78</v>
      </c>
    </row>
    <row r="112" spans="1:9" x14ac:dyDescent="0.45">
      <c r="A112">
        <v>7</v>
      </c>
      <c r="B112">
        <v>600</v>
      </c>
      <c r="C112">
        <v>11</v>
      </c>
      <c r="D112" t="str">
        <f t="shared" si="14"/>
        <v>501+</v>
      </c>
      <c r="E112">
        <f t="shared" si="15"/>
        <v>7</v>
      </c>
      <c r="F112" s="1">
        <f>INDEX('App-Click Conversion by Rank'!$K$12:$S$31,MATCH(E112,'App-Click Conversion by Rank'!$J$12:$J$31,0),MATCH(D112,'App-Click Conversion by Rank'!$K$11:$S$11,0))</f>
        <v>1.4011208967173739E-2</v>
      </c>
      <c r="G112" s="3">
        <f t="shared" si="16"/>
        <v>0.15412329863891114</v>
      </c>
      <c r="H112" s="5">
        <f t="shared" si="17"/>
        <v>1.0788630904723779</v>
      </c>
      <c r="I112">
        <f t="shared" si="18"/>
        <v>77</v>
      </c>
    </row>
    <row r="113" spans="1:9" x14ac:dyDescent="0.45">
      <c r="A113">
        <v>20</v>
      </c>
      <c r="B113">
        <v>600</v>
      </c>
      <c r="C113">
        <v>18</v>
      </c>
      <c r="D113" t="str">
        <f t="shared" si="14"/>
        <v>501+</v>
      </c>
      <c r="E113" t="str">
        <f t="shared" si="15"/>
        <v>20+</v>
      </c>
      <c r="F113" s="1">
        <f>INDEX('App-Click Conversion by Rank'!$K$12:$S$31,MATCH(E113,'App-Click Conversion by Rank'!$J$12:$J$31,0),MATCH(D113,'App-Click Conversion by Rank'!$K$11:$S$11,0))</f>
        <v>5.9893958237873931E-3</v>
      </c>
      <c r="G113" s="3">
        <f t="shared" si="16"/>
        <v>0.10780912482817308</v>
      </c>
      <c r="H113" s="5">
        <f t="shared" si="17"/>
        <v>2.1561824965634617</v>
      </c>
      <c r="I113">
        <f t="shared" si="18"/>
        <v>360</v>
      </c>
    </row>
    <row r="114" spans="1:9" x14ac:dyDescent="0.45">
      <c r="A114">
        <v>9</v>
      </c>
      <c r="B114">
        <v>600</v>
      </c>
      <c r="C114">
        <v>26</v>
      </c>
      <c r="D114" t="str">
        <f t="shared" si="14"/>
        <v>501+</v>
      </c>
      <c r="E114">
        <f t="shared" si="15"/>
        <v>9</v>
      </c>
      <c r="F114" s="1">
        <f>INDEX('App-Click Conversion by Rank'!$K$12:$S$31,MATCH(E114,'App-Click Conversion by Rank'!$J$12:$J$31,0),MATCH(D114,'App-Click Conversion by Rank'!$K$11:$S$11,0))</f>
        <v>6.6039061402276243E-3</v>
      </c>
      <c r="G114" s="3">
        <f t="shared" si="16"/>
        <v>0.17170155964591824</v>
      </c>
      <c r="H114" s="5">
        <f t="shared" si="17"/>
        <v>1.5453140368132641</v>
      </c>
      <c r="I114">
        <f t="shared" si="18"/>
        <v>234</v>
      </c>
    </row>
    <row r="115" spans="1:9" x14ac:dyDescent="0.45">
      <c r="A115">
        <v>21</v>
      </c>
      <c r="B115">
        <v>550</v>
      </c>
      <c r="C115">
        <v>103</v>
      </c>
      <c r="D115" t="str">
        <f t="shared" si="14"/>
        <v>501+</v>
      </c>
      <c r="E115" t="str">
        <f t="shared" si="15"/>
        <v>20+</v>
      </c>
      <c r="F115" s="1">
        <f>INDEX('App-Click Conversion by Rank'!$K$12:$S$31,MATCH(E115,'App-Click Conversion by Rank'!$J$12:$J$31,0),MATCH(D115,'App-Click Conversion by Rank'!$K$11:$S$11,0))</f>
        <v>5.9893958237873931E-3</v>
      </c>
      <c r="G115" s="3">
        <f t="shared" si="16"/>
        <v>0.61690776985010154</v>
      </c>
      <c r="H115" s="5">
        <f t="shared" si="17"/>
        <v>12.955063166852133</v>
      </c>
      <c r="I115">
        <f t="shared" si="18"/>
        <v>2163</v>
      </c>
    </row>
    <row r="116" spans="1:9" x14ac:dyDescent="0.45">
      <c r="A116">
        <v>27</v>
      </c>
      <c r="B116">
        <v>500</v>
      </c>
      <c r="C116">
        <v>66</v>
      </c>
      <c r="D116">
        <f t="shared" si="14"/>
        <v>500</v>
      </c>
      <c r="E116" t="str">
        <f t="shared" si="15"/>
        <v>20+</v>
      </c>
      <c r="F116" s="1">
        <f>INDEX('App-Click Conversion by Rank'!$K$12:$S$31,MATCH(E116,'App-Click Conversion by Rank'!$J$12:$J$31,0),MATCH(D116,'App-Click Conversion by Rank'!$K$11:$S$11,0))</f>
        <v>5.1121544079290558E-3</v>
      </c>
      <c r="G116" s="3">
        <f t="shared" si="16"/>
        <v>0.33740219092331769</v>
      </c>
      <c r="H116" s="5">
        <f t="shared" si="17"/>
        <v>9.1098591549295769</v>
      </c>
      <c r="I116">
        <f t="shared" si="18"/>
        <v>1782</v>
      </c>
    </row>
    <row r="117" spans="1:9" x14ac:dyDescent="0.45">
      <c r="A117">
        <v>22</v>
      </c>
      <c r="B117">
        <v>400</v>
      </c>
      <c r="C117">
        <v>12</v>
      </c>
      <c r="D117">
        <f t="shared" si="14"/>
        <v>400</v>
      </c>
      <c r="E117" t="str">
        <f t="shared" si="15"/>
        <v>20+</v>
      </c>
      <c r="F117" s="1">
        <f>INDEX('App-Click Conversion by Rank'!$K$12:$S$31,MATCH(E117,'App-Click Conversion by Rank'!$J$12:$J$31,0),MATCH(D117,'App-Click Conversion by Rank'!$K$11:$S$11,0))</f>
        <v>6.4196625091709463E-3</v>
      </c>
      <c r="G117" s="3">
        <f t="shared" si="16"/>
        <v>7.7035950110051349E-2</v>
      </c>
      <c r="H117" s="5">
        <f t="shared" si="17"/>
        <v>1.6947909024211296</v>
      </c>
      <c r="I117">
        <f t="shared" si="18"/>
        <v>264</v>
      </c>
    </row>
    <row r="118" spans="1:9" x14ac:dyDescent="0.45">
      <c r="A118">
        <v>38</v>
      </c>
      <c r="B118">
        <v>550</v>
      </c>
      <c r="C118">
        <v>12</v>
      </c>
      <c r="D118" t="str">
        <f t="shared" si="14"/>
        <v>501+</v>
      </c>
      <c r="E118" t="str">
        <f t="shared" si="15"/>
        <v>20+</v>
      </c>
      <c r="F118" s="1">
        <f>INDEX('App-Click Conversion by Rank'!$K$12:$S$31,MATCH(E118,'App-Click Conversion by Rank'!$J$12:$J$31,0),MATCH(D118,'App-Click Conversion by Rank'!$K$11:$S$11,0))</f>
        <v>5.9893958237873931E-3</v>
      </c>
      <c r="G118" s="3">
        <f t="shared" si="16"/>
        <v>7.1872749885448714E-2</v>
      </c>
      <c r="H118" s="5">
        <f t="shared" si="17"/>
        <v>2.7311644956470511</v>
      </c>
      <c r="I118">
        <f t="shared" si="18"/>
        <v>456</v>
      </c>
    </row>
    <row r="119" spans="1:9" x14ac:dyDescent="0.45">
      <c r="A119">
        <v>13</v>
      </c>
      <c r="B119">
        <v>300</v>
      </c>
      <c r="C119">
        <v>17</v>
      </c>
      <c r="D119">
        <f t="shared" si="14"/>
        <v>300</v>
      </c>
      <c r="E119">
        <f t="shared" si="15"/>
        <v>13</v>
      </c>
      <c r="F119" s="1">
        <f>INDEX('App-Click Conversion by Rank'!$K$12:$S$31,MATCH(E119,'App-Click Conversion by Rank'!$J$12:$J$31,0),MATCH(D119,'App-Click Conversion by Rank'!$K$11:$S$11,0))</f>
        <v>1.0607521697203472E-2</v>
      </c>
      <c r="G119" s="3">
        <f t="shared" si="16"/>
        <v>0.18032786885245902</v>
      </c>
      <c r="H119" s="5">
        <f t="shared" si="17"/>
        <v>2.3442622950819674</v>
      </c>
      <c r="I119">
        <f t="shared" si="18"/>
        <v>221</v>
      </c>
    </row>
    <row r="120" spans="1:9" x14ac:dyDescent="0.45">
      <c r="A120">
        <v>33</v>
      </c>
      <c r="B120">
        <v>600</v>
      </c>
      <c r="C120">
        <v>22</v>
      </c>
      <c r="D120" t="str">
        <f t="shared" si="14"/>
        <v>501+</v>
      </c>
      <c r="E120" t="str">
        <f t="shared" si="15"/>
        <v>20+</v>
      </c>
      <c r="F120" s="1">
        <f>INDEX('App-Click Conversion by Rank'!$K$12:$S$31,MATCH(E120,'App-Click Conversion by Rank'!$J$12:$J$31,0),MATCH(D120,'App-Click Conversion by Rank'!$K$11:$S$11,0))</f>
        <v>5.9893958237873931E-3</v>
      </c>
      <c r="G120" s="3">
        <f t="shared" si="16"/>
        <v>0.13176670812332264</v>
      </c>
      <c r="H120" s="5">
        <f t="shared" si="17"/>
        <v>4.348301368069647</v>
      </c>
      <c r="I120">
        <f t="shared" si="18"/>
        <v>726</v>
      </c>
    </row>
    <row r="121" spans="1:9" x14ac:dyDescent="0.45">
      <c r="A121">
        <v>36</v>
      </c>
      <c r="B121">
        <v>600</v>
      </c>
      <c r="C121">
        <v>12</v>
      </c>
      <c r="D121" t="str">
        <f t="shared" si="14"/>
        <v>501+</v>
      </c>
      <c r="E121" t="str">
        <f t="shared" si="15"/>
        <v>20+</v>
      </c>
      <c r="F121" s="1">
        <f>INDEX('App-Click Conversion by Rank'!$K$12:$S$31,MATCH(E121,'App-Click Conversion by Rank'!$J$12:$J$31,0),MATCH(D121,'App-Click Conversion by Rank'!$K$11:$S$11,0))</f>
        <v>5.9893958237873931E-3</v>
      </c>
      <c r="G121" s="3">
        <f t="shared" si="16"/>
        <v>7.1872749885448714E-2</v>
      </c>
      <c r="H121" s="5">
        <f t="shared" si="17"/>
        <v>2.5874189958761535</v>
      </c>
      <c r="I121">
        <f t="shared" si="18"/>
        <v>432</v>
      </c>
    </row>
    <row r="122" spans="1:9" x14ac:dyDescent="0.45">
      <c r="A122">
        <v>4</v>
      </c>
      <c r="B122">
        <v>600</v>
      </c>
      <c r="C122">
        <v>11</v>
      </c>
      <c r="D122" t="str">
        <f t="shared" si="14"/>
        <v>501+</v>
      </c>
      <c r="E122">
        <f t="shared" si="15"/>
        <v>4</v>
      </c>
      <c r="F122" s="1">
        <f>INDEX('App-Click Conversion by Rank'!$K$12:$S$31,MATCH(E122,'App-Click Conversion by Rank'!$J$12:$J$31,0),MATCH(D122,'App-Click Conversion by Rank'!$K$11:$S$11,0))</f>
        <v>3.6664084688871675E-2</v>
      </c>
      <c r="G122" s="3">
        <f t="shared" si="16"/>
        <v>0.4033049315775884</v>
      </c>
      <c r="H122" s="5">
        <f t="shared" si="17"/>
        <v>1.6132197263103536</v>
      </c>
      <c r="I122">
        <f t="shared" si="18"/>
        <v>44</v>
      </c>
    </row>
    <row r="123" spans="1:9" x14ac:dyDescent="0.45">
      <c r="A123">
        <v>32</v>
      </c>
      <c r="B123">
        <v>500</v>
      </c>
      <c r="C123">
        <v>13</v>
      </c>
      <c r="D123">
        <f t="shared" si="14"/>
        <v>500</v>
      </c>
      <c r="E123" t="str">
        <f t="shared" si="15"/>
        <v>20+</v>
      </c>
      <c r="F123" s="1">
        <f>INDEX('App-Click Conversion by Rank'!$K$12:$S$31,MATCH(E123,'App-Click Conversion by Rank'!$J$12:$J$31,0),MATCH(D123,'App-Click Conversion by Rank'!$K$11:$S$11,0))</f>
        <v>5.1121544079290558E-3</v>
      </c>
      <c r="G123" s="3">
        <f t="shared" si="16"/>
        <v>6.6458007303077729E-2</v>
      </c>
      <c r="H123" s="5">
        <f t="shared" si="17"/>
        <v>2.1266562336984873</v>
      </c>
      <c r="I123">
        <f t="shared" si="18"/>
        <v>416</v>
      </c>
    </row>
    <row r="124" spans="1:9" x14ac:dyDescent="0.45">
      <c r="A124">
        <v>30</v>
      </c>
      <c r="B124">
        <v>600</v>
      </c>
      <c r="C124">
        <v>18</v>
      </c>
      <c r="D124" t="str">
        <f t="shared" si="14"/>
        <v>501+</v>
      </c>
      <c r="E124" t="str">
        <f t="shared" si="15"/>
        <v>20+</v>
      </c>
      <c r="F124" s="1">
        <f>INDEX('App-Click Conversion by Rank'!$K$12:$S$31,MATCH(E124,'App-Click Conversion by Rank'!$J$12:$J$31,0),MATCH(D124,'App-Click Conversion by Rank'!$K$11:$S$11,0))</f>
        <v>5.9893958237873931E-3</v>
      </c>
      <c r="G124" s="3">
        <f t="shared" si="16"/>
        <v>0.10780912482817308</v>
      </c>
      <c r="H124" s="5">
        <f t="shared" si="17"/>
        <v>3.2342737448451921</v>
      </c>
      <c r="I124">
        <f t="shared" si="18"/>
        <v>540</v>
      </c>
    </row>
    <row r="125" spans="1:9" x14ac:dyDescent="0.45">
      <c r="A125">
        <v>5</v>
      </c>
      <c r="B125">
        <v>600</v>
      </c>
      <c r="C125">
        <v>7</v>
      </c>
      <c r="D125" t="str">
        <f t="shared" si="14"/>
        <v>501+</v>
      </c>
      <c r="E125">
        <f t="shared" si="15"/>
        <v>5</v>
      </c>
      <c r="F125" s="1">
        <f>INDEX('App-Click Conversion by Rank'!$K$12:$S$31,MATCH(E125,'App-Click Conversion by Rank'!$J$12:$J$31,0),MATCH(D125,'App-Click Conversion by Rank'!$K$11:$S$11,0))</f>
        <v>2.0504113882721692E-2</v>
      </c>
      <c r="G125" s="3">
        <f t="shared" si="16"/>
        <v>0.14352879717905184</v>
      </c>
      <c r="H125" s="5">
        <f t="shared" si="17"/>
        <v>0.71764398589525924</v>
      </c>
      <c r="I125">
        <f t="shared" si="18"/>
        <v>35</v>
      </c>
    </row>
    <row r="126" spans="1:9" x14ac:dyDescent="0.45">
      <c r="A126">
        <v>7</v>
      </c>
      <c r="B126">
        <v>650</v>
      </c>
      <c r="C126">
        <v>3</v>
      </c>
      <c r="D126" t="str">
        <f t="shared" si="14"/>
        <v>501+</v>
      </c>
      <c r="E126">
        <f t="shared" si="15"/>
        <v>7</v>
      </c>
      <c r="F126" s="1">
        <f>INDEX('App-Click Conversion by Rank'!$K$12:$S$31,MATCH(E126,'App-Click Conversion by Rank'!$J$12:$J$31,0),MATCH(D126,'App-Click Conversion by Rank'!$K$11:$S$11,0))</f>
        <v>1.4011208967173739E-2</v>
      </c>
      <c r="G126" s="3">
        <f t="shared" si="16"/>
        <v>4.2033626901521216E-2</v>
      </c>
      <c r="H126" s="5">
        <f t="shared" si="17"/>
        <v>0.29423538831064849</v>
      </c>
      <c r="I126">
        <f t="shared" si="18"/>
        <v>21</v>
      </c>
    </row>
    <row r="127" spans="1:9" x14ac:dyDescent="0.45">
      <c r="A127">
        <v>35</v>
      </c>
      <c r="B127">
        <v>600</v>
      </c>
      <c r="C127">
        <v>7</v>
      </c>
      <c r="D127" t="str">
        <f t="shared" si="14"/>
        <v>501+</v>
      </c>
      <c r="E127" t="str">
        <f t="shared" si="15"/>
        <v>20+</v>
      </c>
      <c r="F127" s="1">
        <f>INDEX('App-Click Conversion by Rank'!$K$12:$S$31,MATCH(E127,'App-Click Conversion by Rank'!$J$12:$J$31,0),MATCH(D127,'App-Click Conversion by Rank'!$K$11:$S$11,0))</f>
        <v>5.9893958237873931E-3</v>
      </c>
      <c r="G127" s="3">
        <f t="shared" si="16"/>
        <v>4.1925770766511751E-2</v>
      </c>
      <c r="H127" s="5">
        <f t="shared" si="17"/>
        <v>1.4674019768279112</v>
      </c>
      <c r="I127">
        <f t="shared" si="18"/>
        <v>245</v>
      </c>
    </row>
    <row r="128" spans="1:9" x14ac:dyDescent="0.45">
      <c r="A128">
        <v>12</v>
      </c>
      <c r="B128">
        <v>250</v>
      </c>
      <c r="C128">
        <v>7</v>
      </c>
      <c r="D128">
        <f t="shared" si="14"/>
        <v>250</v>
      </c>
      <c r="E128">
        <f t="shared" si="15"/>
        <v>12</v>
      </c>
      <c r="F128" s="1">
        <f>INDEX('App-Click Conversion by Rank'!$K$12:$S$31,MATCH(E128,'App-Click Conversion by Rank'!$J$12:$J$31,0),MATCH(D128,'App-Click Conversion by Rank'!$K$11:$S$11,0))</f>
        <v>1.3333333333333334E-2</v>
      </c>
      <c r="G128" s="3">
        <f t="shared" si="16"/>
        <v>9.3333333333333338E-2</v>
      </c>
      <c r="H128" s="5">
        <f t="shared" si="17"/>
        <v>1.1200000000000001</v>
      </c>
      <c r="I128">
        <f t="shared" si="18"/>
        <v>84</v>
      </c>
    </row>
    <row r="129" spans="1:9" x14ac:dyDescent="0.45">
      <c r="A129">
        <v>4</v>
      </c>
      <c r="B129">
        <v>650</v>
      </c>
      <c r="C129">
        <v>3</v>
      </c>
      <c r="D129" t="str">
        <f t="shared" si="14"/>
        <v>501+</v>
      </c>
      <c r="E129">
        <f t="shared" si="15"/>
        <v>4</v>
      </c>
      <c r="F129" s="1">
        <f>INDEX('App-Click Conversion by Rank'!$K$12:$S$31,MATCH(E129,'App-Click Conversion by Rank'!$J$12:$J$31,0),MATCH(D129,'App-Click Conversion by Rank'!$K$11:$S$11,0))</f>
        <v>3.6664084688871675E-2</v>
      </c>
      <c r="G129" s="3">
        <f t="shared" si="16"/>
        <v>0.10999225406661503</v>
      </c>
      <c r="H129" s="5">
        <f t="shared" si="17"/>
        <v>0.43996901626646012</v>
      </c>
      <c r="I129">
        <f t="shared" si="18"/>
        <v>12</v>
      </c>
    </row>
    <row r="130" spans="1:9" x14ac:dyDescent="0.45">
      <c r="A130">
        <v>41</v>
      </c>
      <c r="B130">
        <v>550</v>
      </c>
      <c r="C130">
        <v>1</v>
      </c>
      <c r="D130" t="str">
        <f t="shared" si="14"/>
        <v>501+</v>
      </c>
      <c r="E130" t="str">
        <f t="shared" si="15"/>
        <v>20+</v>
      </c>
      <c r="F130" s="1">
        <f>INDEX('App-Click Conversion by Rank'!$K$12:$S$31,MATCH(E130,'App-Click Conversion by Rank'!$J$12:$J$31,0),MATCH(D130,'App-Click Conversion by Rank'!$K$11:$S$11,0))</f>
        <v>5.9893958237873931E-3</v>
      </c>
      <c r="G130" s="3">
        <f t="shared" si="16"/>
        <v>5.9893958237873931E-3</v>
      </c>
      <c r="H130" s="5">
        <f t="shared" si="17"/>
        <v>0.24556522877528311</v>
      </c>
      <c r="I130">
        <f t="shared" si="18"/>
        <v>41</v>
      </c>
    </row>
    <row r="131" spans="1:9" x14ac:dyDescent="0.45">
      <c r="A131">
        <v>29</v>
      </c>
      <c r="B131">
        <v>400</v>
      </c>
      <c r="C131">
        <v>2</v>
      </c>
      <c r="D131">
        <f t="shared" si="14"/>
        <v>400</v>
      </c>
      <c r="E131" t="str">
        <f t="shared" si="15"/>
        <v>20+</v>
      </c>
      <c r="F131" s="1">
        <f>INDEX('App-Click Conversion by Rank'!$K$12:$S$31,MATCH(E131,'App-Click Conversion by Rank'!$J$12:$J$31,0),MATCH(D131,'App-Click Conversion by Rank'!$K$11:$S$11,0))</f>
        <v>6.4196625091709463E-3</v>
      </c>
      <c r="G131" s="3">
        <f t="shared" si="16"/>
        <v>1.2839325018341893E-2</v>
      </c>
      <c r="H131" s="5">
        <f t="shared" si="17"/>
        <v>0.37234042553191488</v>
      </c>
      <c r="I131">
        <f t="shared" si="18"/>
        <v>58</v>
      </c>
    </row>
    <row r="132" spans="1:9" x14ac:dyDescent="0.45">
      <c r="A132">
        <v>20</v>
      </c>
      <c r="B132">
        <v>350</v>
      </c>
      <c r="C132">
        <v>3</v>
      </c>
      <c r="D132">
        <f t="shared" si="14"/>
        <v>350</v>
      </c>
      <c r="E132" t="str">
        <f t="shared" si="15"/>
        <v>20+</v>
      </c>
      <c r="F132" s="1">
        <f>INDEX('App-Click Conversion by Rank'!$K$12:$S$31,MATCH(E132,'App-Click Conversion by Rank'!$J$12:$J$31,0),MATCH(D132,'App-Click Conversion by Rank'!$K$11:$S$11,0))</f>
        <v>4.1279669762641896E-3</v>
      </c>
      <c r="G132" s="3">
        <f t="shared" si="16"/>
        <v>1.2383900928792569E-2</v>
      </c>
      <c r="H132" s="5">
        <f t="shared" si="17"/>
        <v>0.24767801857585137</v>
      </c>
      <c r="I132">
        <f t="shared" si="18"/>
        <v>60</v>
      </c>
    </row>
    <row r="133" spans="1:9" x14ac:dyDescent="0.45">
      <c r="A133">
        <v>12</v>
      </c>
      <c r="B133">
        <v>700</v>
      </c>
      <c r="C133">
        <v>1</v>
      </c>
      <c r="D133" t="str">
        <f t="shared" si="14"/>
        <v>501+</v>
      </c>
      <c r="E133">
        <f t="shared" si="15"/>
        <v>12</v>
      </c>
      <c r="F133" s="1">
        <f>INDEX('App-Click Conversion by Rank'!$K$12:$S$31,MATCH(E133,'App-Click Conversion by Rank'!$J$12:$J$31,0),MATCH(D133,'App-Click Conversion by Rank'!$K$11:$S$11,0))</f>
        <v>4.3071439180157435E-3</v>
      </c>
      <c r="G133" s="3">
        <f t="shared" si="16"/>
        <v>4.3071439180157435E-3</v>
      </c>
      <c r="H133" s="5">
        <f t="shared" si="17"/>
        <v>5.1685727016188926E-2</v>
      </c>
      <c r="I133">
        <f t="shared" si="18"/>
        <v>12</v>
      </c>
    </row>
    <row r="134" spans="1:9" x14ac:dyDescent="0.45">
      <c r="A134">
        <v>6</v>
      </c>
      <c r="B134">
        <v>300</v>
      </c>
      <c r="C134">
        <v>107</v>
      </c>
      <c r="D134">
        <f t="shared" si="14"/>
        <v>300</v>
      </c>
      <c r="E134">
        <f t="shared" si="15"/>
        <v>6</v>
      </c>
      <c r="F134" s="1">
        <f>INDEX('App-Click Conversion by Rank'!$K$12:$S$31,MATCH(E134,'App-Click Conversion by Rank'!$J$12:$J$31,0),MATCH(D134,'App-Click Conversion by Rank'!$K$11:$S$11,0))</f>
        <v>3.6284470246734396E-2</v>
      </c>
      <c r="G134" s="3">
        <f t="shared" si="16"/>
        <v>3.8824383164005805</v>
      </c>
      <c r="H134" s="5">
        <f t="shared" si="17"/>
        <v>23.294629898403482</v>
      </c>
      <c r="I134">
        <f t="shared" si="18"/>
        <v>642</v>
      </c>
    </row>
    <row r="135" spans="1:9" x14ac:dyDescent="0.45">
      <c r="A135">
        <v>15</v>
      </c>
      <c r="B135">
        <v>450</v>
      </c>
      <c r="C135">
        <v>277</v>
      </c>
      <c r="D135">
        <f t="shared" si="14"/>
        <v>450</v>
      </c>
      <c r="E135">
        <f t="shared" si="15"/>
        <v>15</v>
      </c>
      <c r="F135" s="1">
        <f>INDEX('App-Click Conversion by Rank'!$K$12:$S$31,MATCH(E135,'App-Click Conversion by Rank'!$J$12:$J$31,0),MATCH(D135,'App-Click Conversion by Rank'!$K$11:$S$11,0))</f>
        <v>3.0599755201958386E-3</v>
      </c>
      <c r="G135" s="3">
        <f t="shared" si="16"/>
        <v>0.84761321909424725</v>
      </c>
      <c r="H135" s="5">
        <f t="shared" si="17"/>
        <v>12.714198286413708</v>
      </c>
      <c r="I135">
        <f t="shared" si="18"/>
        <v>4155</v>
      </c>
    </row>
    <row r="136" spans="1:9" x14ac:dyDescent="0.45">
      <c r="A136">
        <v>15</v>
      </c>
      <c r="B136">
        <v>550</v>
      </c>
      <c r="C136">
        <v>487</v>
      </c>
      <c r="D136" t="str">
        <f t="shared" si="14"/>
        <v>501+</v>
      </c>
      <c r="E136">
        <f t="shared" si="15"/>
        <v>15</v>
      </c>
      <c r="F136" s="1">
        <f>INDEX('App-Click Conversion by Rank'!$K$12:$S$31,MATCH(E136,'App-Click Conversion by Rank'!$J$12:$J$31,0),MATCH(D136,'App-Click Conversion by Rank'!$K$11:$S$11,0))</f>
        <v>3.3794657225619568E-3</v>
      </c>
      <c r="G136" s="3">
        <f t="shared" si="16"/>
        <v>1.6457998068876729</v>
      </c>
      <c r="H136" s="5">
        <f t="shared" si="17"/>
        <v>24.686997103315093</v>
      </c>
      <c r="I136">
        <f t="shared" si="18"/>
        <v>7305</v>
      </c>
    </row>
    <row r="137" spans="1:9" x14ac:dyDescent="0.45">
      <c r="A137">
        <v>9</v>
      </c>
      <c r="B137">
        <v>350</v>
      </c>
      <c r="C137">
        <v>113</v>
      </c>
      <c r="D137">
        <f t="shared" si="14"/>
        <v>350</v>
      </c>
      <c r="E137">
        <f t="shared" si="15"/>
        <v>9</v>
      </c>
      <c r="F137" s="1">
        <f>INDEX('App-Click Conversion by Rank'!$K$12:$S$31,MATCH(E137,'App-Click Conversion by Rank'!$J$12:$J$31,0),MATCH(D137,'App-Click Conversion by Rank'!$K$11:$S$11,0))</f>
        <v>1.4294996751137101E-2</v>
      </c>
      <c r="G137" s="3">
        <f t="shared" si="16"/>
        <v>1.6153346328784925</v>
      </c>
      <c r="H137" s="5">
        <f t="shared" si="17"/>
        <v>14.538011695906434</v>
      </c>
      <c r="I137">
        <f t="shared" si="18"/>
        <v>1017</v>
      </c>
    </row>
    <row r="138" spans="1:9" x14ac:dyDescent="0.45">
      <c r="A138">
        <v>15</v>
      </c>
      <c r="B138">
        <v>500</v>
      </c>
      <c r="C138">
        <v>682</v>
      </c>
      <c r="D138">
        <f t="shared" si="14"/>
        <v>500</v>
      </c>
      <c r="E138">
        <f t="shared" si="15"/>
        <v>15</v>
      </c>
      <c r="F138" s="1">
        <f>INDEX('App-Click Conversion by Rank'!$K$12:$S$31,MATCH(E138,'App-Click Conversion by Rank'!$J$12:$J$31,0),MATCH(D138,'App-Click Conversion by Rank'!$K$11:$S$11,0))</f>
        <v>4.7119009154550353E-3</v>
      </c>
      <c r="G138" s="3">
        <f t="shared" si="16"/>
        <v>3.2135164243403342</v>
      </c>
      <c r="H138" s="5">
        <f t="shared" si="17"/>
        <v>48.202746365105014</v>
      </c>
      <c r="I138">
        <f t="shared" si="18"/>
        <v>10230</v>
      </c>
    </row>
    <row r="139" spans="1:9" x14ac:dyDescent="0.45">
      <c r="A139">
        <v>26</v>
      </c>
      <c r="B139">
        <v>600</v>
      </c>
      <c r="C139">
        <v>10</v>
      </c>
      <c r="D139" t="str">
        <f t="shared" si="14"/>
        <v>501+</v>
      </c>
      <c r="E139" t="str">
        <f t="shared" si="15"/>
        <v>20+</v>
      </c>
      <c r="F139" s="1">
        <f>INDEX('App-Click Conversion by Rank'!$K$12:$S$31,MATCH(E139,'App-Click Conversion by Rank'!$J$12:$J$31,0),MATCH(D139,'App-Click Conversion by Rank'!$K$11:$S$11,0))</f>
        <v>5.9893958237873931E-3</v>
      </c>
      <c r="G139" s="3">
        <f t="shared" si="16"/>
        <v>5.9893958237873933E-2</v>
      </c>
      <c r="H139" s="5">
        <f t="shared" si="17"/>
        <v>1.5572429141847222</v>
      </c>
      <c r="I139">
        <f t="shared" si="18"/>
        <v>260</v>
      </c>
    </row>
    <row r="140" spans="1:9" x14ac:dyDescent="0.45">
      <c r="A140">
        <v>4</v>
      </c>
      <c r="B140">
        <v>350</v>
      </c>
      <c r="C140">
        <v>171</v>
      </c>
      <c r="D140">
        <f t="shared" si="14"/>
        <v>350</v>
      </c>
      <c r="E140">
        <f t="shared" si="15"/>
        <v>4</v>
      </c>
      <c r="F140" s="1">
        <f>INDEX('App-Click Conversion by Rank'!$K$12:$S$31,MATCH(E140,'App-Click Conversion by Rank'!$J$12:$J$31,0),MATCH(D140,'App-Click Conversion by Rank'!$K$11:$S$11,0))</f>
        <v>5.6047851129818346E-2</v>
      </c>
      <c r="G140" s="3">
        <f t="shared" si="16"/>
        <v>9.5841825431989367</v>
      </c>
      <c r="H140" s="5">
        <f t="shared" si="17"/>
        <v>38.336730172795747</v>
      </c>
      <c r="I140">
        <f t="shared" si="18"/>
        <v>684</v>
      </c>
    </row>
    <row r="141" spans="1:9" x14ac:dyDescent="0.45">
      <c r="A141">
        <v>14</v>
      </c>
      <c r="B141">
        <v>600</v>
      </c>
      <c r="C141">
        <v>57</v>
      </c>
      <c r="D141" t="str">
        <f t="shared" si="14"/>
        <v>501+</v>
      </c>
      <c r="E141">
        <f t="shared" si="15"/>
        <v>14</v>
      </c>
      <c r="F141" s="1">
        <f>INDEX('App-Click Conversion by Rank'!$K$12:$S$31,MATCH(E141,'App-Click Conversion by Rank'!$J$12:$J$31,0),MATCH(D141,'App-Click Conversion by Rank'!$K$11:$S$11,0))</f>
        <v>3.5937500000000002E-3</v>
      </c>
      <c r="G141" s="3">
        <f t="shared" si="16"/>
        <v>0.20484375000000002</v>
      </c>
      <c r="H141" s="5">
        <f t="shared" si="17"/>
        <v>2.8678125000000003</v>
      </c>
      <c r="I141">
        <f t="shared" si="18"/>
        <v>798</v>
      </c>
    </row>
    <row r="142" spans="1:9" x14ac:dyDescent="0.45">
      <c r="A142">
        <v>7</v>
      </c>
      <c r="B142">
        <v>350</v>
      </c>
      <c r="C142">
        <v>173</v>
      </c>
      <c r="D142">
        <f t="shared" si="14"/>
        <v>350</v>
      </c>
      <c r="E142">
        <f t="shared" si="15"/>
        <v>7</v>
      </c>
      <c r="F142" s="1">
        <f>INDEX('App-Click Conversion by Rank'!$K$12:$S$31,MATCH(E142,'App-Click Conversion by Rank'!$J$12:$J$31,0),MATCH(D142,'App-Click Conversion by Rank'!$K$11:$S$11,0))</f>
        <v>2.2263450834879406E-2</v>
      </c>
      <c r="G142" s="3">
        <f t="shared" si="16"/>
        <v>3.8515769944341374</v>
      </c>
      <c r="H142" s="5">
        <f t="shared" si="17"/>
        <v>26.961038961038962</v>
      </c>
      <c r="I142">
        <f t="shared" si="18"/>
        <v>1211</v>
      </c>
    </row>
    <row r="143" spans="1:9" x14ac:dyDescent="0.45">
      <c r="A143">
        <v>4</v>
      </c>
      <c r="B143">
        <v>450</v>
      </c>
      <c r="C143">
        <v>343</v>
      </c>
      <c r="D143">
        <f t="shared" si="14"/>
        <v>450</v>
      </c>
      <c r="E143">
        <f t="shared" si="15"/>
        <v>4</v>
      </c>
      <c r="F143" s="1">
        <f>INDEX('App-Click Conversion by Rank'!$K$12:$S$31,MATCH(E143,'App-Click Conversion by Rank'!$J$12:$J$31,0),MATCH(D143,'App-Click Conversion by Rank'!$K$11:$S$11,0))</f>
        <v>3.7920850561134083E-2</v>
      </c>
      <c r="G143" s="3">
        <f t="shared" si="16"/>
        <v>13.00685174246899</v>
      </c>
      <c r="H143" s="5">
        <f t="shared" si="17"/>
        <v>52.027406969875962</v>
      </c>
      <c r="I143">
        <f t="shared" si="18"/>
        <v>1372</v>
      </c>
    </row>
    <row r="144" spans="1:9" x14ac:dyDescent="0.45">
      <c r="A144">
        <v>5</v>
      </c>
      <c r="B144">
        <v>550</v>
      </c>
      <c r="C144">
        <v>108</v>
      </c>
      <c r="D144" t="str">
        <f t="shared" si="14"/>
        <v>501+</v>
      </c>
      <c r="E144">
        <f t="shared" si="15"/>
        <v>5</v>
      </c>
      <c r="F144" s="1">
        <f>INDEX('App-Click Conversion by Rank'!$K$12:$S$31,MATCH(E144,'App-Click Conversion by Rank'!$J$12:$J$31,0),MATCH(D144,'App-Click Conversion by Rank'!$K$11:$S$11,0))</f>
        <v>2.0504113882721692E-2</v>
      </c>
      <c r="G144" s="3">
        <f t="shared" si="16"/>
        <v>2.2144442993339428</v>
      </c>
      <c r="H144" s="5">
        <f t="shared" si="17"/>
        <v>11.072221496669714</v>
      </c>
      <c r="I144">
        <f t="shared" si="18"/>
        <v>540</v>
      </c>
    </row>
    <row r="145" spans="1:9" x14ac:dyDescent="0.45">
      <c r="A145">
        <v>1</v>
      </c>
      <c r="B145">
        <v>450</v>
      </c>
      <c r="C145">
        <v>38</v>
      </c>
      <c r="D145">
        <f t="shared" si="14"/>
        <v>450</v>
      </c>
      <c r="E145">
        <f t="shared" si="15"/>
        <v>1</v>
      </c>
      <c r="F145" s="1">
        <f>INDEX('App-Click Conversion by Rank'!$K$12:$S$31,MATCH(E145,'App-Click Conversion by Rank'!$J$12:$J$31,0),MATCH(D145,'App-Click Conversion by Rank'!$K$11:$S$11,0))</f>
        <v>0.15592720118052139</v>
      </c>
      <c r="G145" s="3">
        <f t="shared" si="16"/>
        <v>5.9252336448598131</v>
      </c>
      <c r="H145" s="5">
        <f t="shared" si="17"/>
        <v>5.9252336448598131</v>
      </c>
      <c r="I145">
        <f t="shared" si="18"/>
        <v>38</v>
      </c>
    </row>
    <row r="146" spans="1:9" x14ac:dyDescent="0.45">
      <c r="A146">
        <v>5</v>
      </c>
      <c r="B146">
        <v>450</v>
      </c>
      <c r="C146">
        <v>281</v>
      </c>
      <c r="D146">
        <f t="shared" si="14"/>
        <v>450</v>
      </c>
      <c r="E146">
        <f t="shared" si="15"/>
        <v>5</v>
      </c>
      <c r="F146" s="1">
        <f>INDEX('App-Click Conversion by Rank'!$K$12:$S$31,MATCH(E146,'App-Click Conversion by Rank'!$J$12:$J$31,0),MATCH(D146,'App-Click Conversion by Rank'!$K$11:$S$11,0))</f>
        <v>2.576881001580163E-2</v>
      </c>
      <c r="G146" s="3">
        <f t="shared" si="16"/>
        <v>7.2410356144402579</v>
      </c>
      <c r="H146" s="5">
        <f t="shared" si="17"/>
        <v>36.205178072201292</v>
      </c>
      <c r="I146">
        <f t="shared" si="18"/>
        <v>1405</v>
      </c>
    </row>
    <row r="147" spans="1:9" x14ac:dyDescent="0.45">
      <c r="A147">
        <v>2</v>
      </c>
      <c r="B147">
        <v>300</v>
      </c>
      <c r="C147">
        <v>55</v>
      </c>
      <c r="D147">
        <f t="shared" si="14"/>
        <v>300</v>
      </c>
      <c r="E147">
        <f t="shared" si="15"/>
        <v>2</v>
      </c>
      <c r="F147" s="1">
        <f>INDEX('App-Click Conversion by Rank'!$K$12:$S$31,MATCH(E147,'App-Click Conversion by Rank'!$J$12:$J$31,0),MATCH(D147,'App-Click Conversion by Rank'!$K$11:$S$11,0))</f>
        <v>0.11406010089932003</v>
      </c>
      <c r="G147" s="3">
        <f t="shared" si="16"/>
        <v>6.2733055494626022</v>
      </c>
      <c r="H147" s="5">
        <f t="shared" si="17"/>
        <v>12.546611098925204</v>
      </c>
      <c r="I147">
        <f t="shared" si="18"/>
        <v>110</v>
      </c>
    </row>
    <row r="148" spans="1:9" x14ac:dyDescent="0.45">
      <c r="A148">
        <v>11</v>
      </c>
      <c r="B148">
        <v>150</v>
      </c>
      <c r="C148">
        <v>1</v>
      </c>
      <c r="D148" t="str">
        <f t="shared" si="14"/>
        <v>&lt;=150</v>
      </c>
      <c r="E148">
        <f t="shared" si="15"/>
        <v>11</v>
      </c>
      <c r="F148" s="1">
        <f>INDEX('App-Click Conversion by Rank'!$K$12:$S$31,MATCH(E148,'App-Click Conversion by Rank'!$J$12:$J$31,0),MATCH(D148,'App-Click Conversion by Rank'!$K$11:$S$11,0))</f>
        <v>1.9230769230769232E-2</v>
      </c>
      <c r="G148" s="3">
        <f t="shared" si="16"/>
        <v>1.9230769230769232E-2</v>
      </c>
      <c r="H148" s="5">
        <f t="shared" si="17"/>
        <v>0.21153846153846156</v>
      </c>
      <c r="I148">
        <f t="shared" si="18"/>
        <v>11</v>
      </c>
    </row>
    <row r="149" spans="1:9" x14ac:dyDescent="0.45">
      <c r="A149">
        <v>30</v>
      </c>
      <c r="B149">
        <v>550</v>
      </c>
      <c r="C149">
        <v>67</v>
      </c>
      <c r="D149" t="str">
        <f t="shared" si="14"/>
        <v>501+</v>
      </c>
      <c r="E149" t="str">
        <f t="shared" si="15"/>
        <v>20+</v>
      </c>
      <c r="F149" s="1">
        <f>INDEX('App-Click Conversion by Rank'!$K$12:$S$31,MATCH(E149,'App-Click Conversion by Rank'!$J$12:$J$31,0),MATCH(D149,'App-Click Conversion by Rank'!$K$11:$S$11,0))</f>
        <v>5.9893958237873931E-3</v>
      </c>
      <c r="G149" s="3">
        <f t="shared" si="16"/>
        <v>0.40128952019375536</v>
      </c>
      <c r="H149" s="5">
        <f t="shared" si="17"/>
        <v>12.038685605812661</v>
      </c>
      <c r="I149">
        <f t="shared" si="18"/>
        <v>2010</v>
      </c>
    </row>
    <row r="150" spans="1:9" x14ac:dyDescent="0.45">
      <c r="A150">
        <v>4</v>
      </c>
      <c r="B150">
        <v>300</v>
      </c>
      <c r="C150">
        <v>47</v>
      </c>
      <c r="D150">
        <f t="shared" si="14"/>
        <v>300</v>
      </c>
      <c r="E150">
        <f t="shared" si="15"/>
        <v>4</v>
      </c>
      <c r="F150" s="1">
        <f>INDEX('App-Click Conversion by Rank'!$K$12:$S$31,MATCH(E150,'App-Click Conversion by Rank'!$J$12:$J$31,0),MATCH(D150,'App-Click Conversion by Rank'!$K$11:$S$11,0))</f>
        <v>5.5850234009360372E-2</v>
      </c>
      <c r="G150" s="3">
        <f t="shared" si="16"/>
        <v>2.6249609984399376</v>
      </c>
      <c r="H150" s="5">
        <f t="shared" si="17"/>
        <v>10.49984399375975</v>
      </c>
      <c r="I150">
        <f t="shared" si="18"/>
        <v>188</v>
      </c>
    </row>
    <row r="151" spans="1:9" x14ac:dyDescent="0.45">
      <c r="A151">
        <v>9</v>
      </c>
      <c r="B151">
        <v>300</v>
      </c>
      <c r="C151">
        <v>58</v>
      </c>
      <c r="D151">
        <f t="shared" si="14"/>
        <v>300</v>
      </c>
      <c r="E151">
        <f t="shared" si="15"/>
        <v>9</v>
      </c>
      <c r="F151" s="1">
        <f>INDEX('App-Click Conversion by Rank'!$K$12:$S$31,MATCH(E151,'App-Click Conversion by Rank'!$J$12:$J$31,0),MATCH(D151,'App-Click Conversion by Rank'!$K$11:$S$11,0))</f>
        <v>2.0078354554358472E-2</v>
      </c>
      <c r="G151" s="3">
        <f t="shared" si="16"/>
        <v>1.1645445641527914</v>
      </c>
      <c r="H151" s="5">
        <f t="shared" si="17"/>
        <v>10.480901077375123</v>
      </c>
      <c r="I151">
        <f t="shared" si="18"/>
        <v>522</v>
      </c>
    </row>
    <row r="152" spans="1:9" x14ac:dyDescent="0.45">
      <c r="A152">
        <v>7</v>
      </c>
      <c r="B152">
        <v>300</v>
      </c>
      <c r="C152">
        <v>109</v>
      </c>
      <c r="D152">
        <f t="shared" si="14"/>
        <v>300</v>
      </c>
      <c r="E152">
        <f t="shared" si="15"/>
        <v>7</v>
      </c>
      <c r="F152" s="1">
        <f>INDEX('App-Click Conversion by Rank'!$K$12:$S$31,MATCH(E152,'App-Click Conversion by Rank'!$J$12:$J$31,0),MATCH(D152,'App-Click Conversion by Rank'!$K$11:$S$11,0))</f>
        <v>3.3102386451116246E-2</v>
      </c>
      <c r="G152" s="3">
        <f t="shared" si="16"/>
        <v>3.6081601231716709</v>
      </c>
      <c r="H152" s="5">
        <f t="shared" si="17"/>
        <v>25.257120862201695</v>
      </c>
      <c r="I152">
        <f t="shared" si="18"/>
        <v>763</v>
      </c>
    </row>
    <row r="153" spans="1:9" x14ac:dyDescent="0.45">
      <c r="A153">
        <v>19</v>
      </c>
      <c r="B153">
        <v>600</v>
      </c>
      <c r="C153">
        <v>15</v>
      </c>
      <c r="D153" t="str">
        <f t="shared" si="14"/>
        <v>501+</v>
      </c>
      <c r="E153">
        <f t="shared" si="15"/>
        <v>19</v>
      </c>
      <c r="F153" s="1">
        <f>INDEX('App-Click Conversion by Rank'!$K$12:$S$31,MATCH(E153,'App-Click Conversion by Rank'!$J$12:$J$31,0),MATCH(D153,'App-Click Conversion by Rank'!$K$11:$S$11,0))</f>
        <v>2.8030833917309038E-3</v>
      </c>
      <c r="G153" s="3">
        <f t="shared" si="16"/>
        <v>4.2046250875963559E-2</v>
      </c>
      <c r="H153" s="5">
        <f t="shared" si="17"/>
        <v>0.79887876664330759</v>
      </c>
      <c r="I153">
        <f t="shared" si="18"/>
        <v>285</v>
      </c>
    </row>
    <row r="154" spans="1:9" x14ac:dyDescent="0.45">
      <c r="A154">
        <v>10</v>
      </c>
      <c r="B154">
        <v>200</v>
      </c>
      <c r="C154">
        <v>3</v>
      </c>
      <c r="D154">
        <f t="shared" si="14"/>
        <v>200</v>
      </c>
      <c r="E154">
        <f t="shared" si="15"/>
        <v>10</v>
      </c>
      <c r="F154" s="1">
        <f>INDEX('App-Click Conversion by Rank'!$K$12:$S$31,MATCH(E154,'App-Click Conversion by Rank'!$J$12:$J$31,0),MATCH(D154,'App-Click Conversion by Rank'!$K$11:$S$11,0))</f>
        <v>1.7361111111111112E-2</v>
      </c>
      <c r="G154" s="3">
        <f t="shared" si="16"/>
        <v>5.2083333333333336E-2</v>
      </c>
      <c r="H154" s="5">
        <f t="shared" si="17"/>
        <v>0.52083333333333337</v>
      </c>
      <c r="I154">
        <f t="shared" si="18"/>
        <v>30</v>
      </c>
    </row>
    <row r="155" spans="1:9" x14ac:dyDescent="0.45">
      <c r="A155">
        <v>26</v>
      </c>
      <c r="B155">
        <v>650</v>
      </c>
      <c r="C155">
        <v>1</v>
      </c>
      <c r="D155" t="str">
        <f t="shared" si="14"/>
        <v>501+</v>
      </c>
      <c r="E155" t="str">
        <f t="shared" si="15"/>
        <v>20+</v>
      </c>
      <c r="F155" s="1">
        <f>INDEX('App-Click Conversion by Rank'!$K$12:$S$31,MATCH(E155,'App-Click Conversion by Rank'!$J$12:$J$31,0),MATCH(D155,'App-Click Conversion by Rank'!$K$11:$S$11,0))</f>
        <v>5.9893958237873931E-3</v>
      </c>
      <c r="G155" s="3">
        <f t="shared" si="16"/>
        <v>5.9893958237873931E-3</v>
      </c>
      <c r="H155" s="5">
        <f t="shared" si="17"/>
        <v>0.15572429141847222</v>
      </c>
      <c r="I155">
        <f t="shared" si="18"/>
        <v>26</v>
      </c>
    </row>
    <row r="156" spans="1:9" x14ac:dyDescent="0.45">
      <c r="A156">
        <v>14</v>
      </c>
      <c r="B156">
        <v>650</v>
      </c>
      <c r="C156">
        <v>15</v>
      </c>
      <c r="D156" t="str">
        <f t="shared" si="14"/>
        <v>501+</v>
      </c>
      <c r="E156">
        <f t="shared" si="15"/>
        <v>14</v>
      </c>
      <c r="F156" s="1">
        <f>INDEX('App-Click Conversion by Rank'!$K$12:$S$31,MATCH(E156,'App-Click Conversion by Rank'!$J$12:$J$31,0),MATCH(D156,'App-Click Conversion by Rank'!$K$11:$S$11,0))</f>
        <v>3.5937500000000002E-3</v>
      </c>
      <c r="G156" s="3">
        <f t="shared" si="16"/>
        <v>5.3906250000000003E-2</v>
      </c>
      <c r="H156" s="5">
        <f t="shared" si="17"/>
        <v>0.75468750000000007</v>
      </c>
      <c r="I156">
        <f t="shared" si="18"/>
        <v>210</v>
      </c>
    </row>
    <row r="157" spans="1:9" x14ac:dyDescent="0.45">
      <c r="A157">
        <v>31</v>
      </c>
      <c r="B157">
        <v>650</v>
      </c>
      <c r="C157">
        <v>3</v>
      </c>
      <c r="D157" t="str">
        <f t="shared" si="14"/>
        <v>501+</v>
      </c>
      <c r="E157" t="str">
        <f t="shared" si="15"/>
        <v>20+</v>
      </c>
      <c r="F157" s="1">
        <f>INDEX('App-Click Conversion by Rank'!$K$12:$S$31,MATCH(E157,'App-Click Conversion by Rank'!$J$12:$J$31,0),MATCH(D157,'App-Click Conversion by Rank'!$K$11:$S$11,0))</f>
        <v>5.9893958237873931E-3</v>
      </c>
      <c r="G157" s="3">
        <f t="shared" si="16"/>
        <v>1.7968187471362179E-2</v>
      </c>
      <c r="H157" s="5">
        <f t="shared" si="17"/>
        <v>0.55701381161222752</v>
      </c>
      <c r="I157">
        <f t="shared" si="18"/>
        <v>93</v>
      </c>
    </row>
    <row r="158" spans="1:9" x14ac:dyDescent="0.45">
      <c r="A158">
        <v>21</v>
      </c>
      <c r="B158">
        <v>400</v>
      </c>
      <c r="C158">
        <v>20</v>
      </c>
      <c r="D158">
        <f t="shared" si="14"/>
        <v>400</v>
      </c>
      <c r="E158" t="str">
        <f t="shared" si="15"/>
        <v>20+</v>
      </c>
      <c r="F158" s="1">
        <f>INDEX('App-Click Conversion by Rank'!$K$12:$S$31,MATCH(E158,'App-Click Conversion by Rank'!$J$12:$J$31,0),MATCH(D158,'App-Click Conversion by Rank'!$K$11:$S$11,0))</f>
        <v>6.4196625091709463E-3</v>
      </c>
      <c r="G158" s="3">
        <f t="shared" si="16"/>
        <v>0.12839325018341893</v>
      </c>
      <c r="H158" s="5">
        <f t="shared" si="17"/>
        <v>2.6962582538517976</v>
      </c>
      <c r="I158">
        <f t="shared" si="18"/>
        <v>420</v>
      </c>
    </row>
    <row r="159" spans="1:9" x14ac:dyDescent="0.45">
      <c r="A159">
        <v>17</v>
      </c>
      <c r="B159">
        <v>400</v>
      </c>
      <c r="C159">
        <v>14</v>
      </c>
      <c r="D159">
        <f t="shared" si="14"/>
        <v>400</v>
      </c>
      <c r="E159">
        <f t="shared" si="15"/>
        <v>17</v>
      </c>
      <c r="F159" s="1">
        <f>INDEX('App-Click Conversion by Rank'!$K$12:$S$31,MATCH(E159,'App-Click Conversion by Rank'!$J$12:$J$31,0),MATCH(D159,'App-Click Conversion by Rank'!$K$11:$S$11,0))</f>
        <v>4.7598442232799658E-3</v>
      </c>
      <c r="G159" s="3">
        <f t="shared" si="16"/>
        <v>6.6637819125919526E-2</v>
      </c>
      <c r="H159" s="5">
        <f t="shared" si="17"/>
        <v>1.132842925140632</v>
      </c>
      <c r="I159">
        <f t="shared" si="18"/>
        <v>238</v>
      </c>
    </row>
    <row r="160" spans="1:9" x14ac:dyDescent="0.45">
      <c r="A160">
        <v>11</v>
      </c>
      <c r="B160">
        <v>350</v>
      </c>
      <c r="C160">
        <v>46</v>
      </c>
      <c r="D160">
        <f t="shared" si="14"/>
        <v>350</v>
      </c>
      <c r="E160">
        <f t="shared" si="15"/>
        <v>11</v>
      </c>
      <c r="F160" s="1">
        <f>INDEX('App-Click Conversion by Rank'!$K$12:$S$31,MATCH(E160,'App-Click Conversion by Rank'!$J$12:$J$31,0),MATCH(D160,'App-Click Conversion by Rank'!$K$11:$S$11,0))</f>
        <v>1.101141924959217E-2</v>
      </c>
      <c r="G160" s="3">
        <f t="shared" si="16"/>
        <v>0.50652528548123976</v>
      </c>
      <c r="H160" s="5">
        <f t="shared" si="17"/>
        <v>5.5717781402936373</v>
      </c>
      <c r="I160">
        <f t="shared" si="18"/>
        <v>506</v>
      </c>
    </row>
    <row r="161" spans="1:9" x14ac:dyDescent="0.45">
      <c r="A161">
        <v>35</v>
      </c>
      <c r="B161">
        <v>500</v>
      </c>
      <c r="C161">
        <v>14</v>
      </c>
      <c r="D161">
        <f t="shared" si="14"/>
        <v>500</v>
      </c>
      <c r="E161" t="str">
        <f t="shared" si="15"/>
        <v>20+</v>
      </c>
      <c r="F161" s="1">
        <f>INDEX('App-Click Conversion by Rank'!$K$12:$S$31,MATCH(E161,'App-Click Conversion by Rank'!$J$12:$J$31,0),MATCH(D161,'App-Click Conversion by Rank'!$K$11:$S$11,0))</f>
        <v>5.1121544079290558E-3</v>
      </c>
      <c r="G161" s="3">
        <f t="shared" si="16"/>
        <v>7.1570161711006774E-2</v>
      </c>
      <c r="H161" s="5">
        <f t="shared" si="17"/>
        <v>2.5049556598852369</v>
      </c>
      <c r="I161">
        <f t="shared" si="18"/>
        <v>490</v>
      </c>
    </row>
    <row r="162" spans="1:9" x14ac:dyDescent="0.45">
      <c r="A162">
        <v>27</v>
      </c>
      <c r="B162">
        <v>400</v>
      </c>
      <c r="C162">
        <v>2</v>
      </c>
      <c r="D162">
        <f t="shared" si="14"/>
        <v>400</v>
      </c>
      <c r="E162" t="str">
        <f t="shared" si="15"/>
        <v>20+</v>
      </c>
      <c r="F162" s="1">
        <f>INDEX('App-Click Conversion by Rank'!$K$12:$S$31,MATCH(E162,'App-Click Conversion by Rank'!$J$12:$J$31,0),MATCH(D162,'App-Click Conversion by Rank'!$K$11:$S$11,0))</f>
        <v>6.4196625091709463E-3</v>
      </c>
      <c r="G162" s="3">
        <f t="shared" si="16"/>
        <v>1.2839325018341893E-2</v>
      </c>
      <c r="H162" s="5">
        <f t="shared" si="17"/>
        <v>0.34666177549523108</v>
      </c>
      <c r="I162">
        <f t="shared" si="18"/>
        <v>54</v>
      </c>
    </row>
    <row r="163" spans="1:9" x14ac:dyDescent="0.45">
      <c r="A163">
        <v>34</v>
      </c>
      <c r="B163">
        <v>600</v>
      </c>
      <c r="C163">
        <v>5</v>
      </c>
      <c r="D163" t="str">
        <f t="shared" si="14"/>
        <v>501+</v>
      </c>
      <c r="E163" t="str">
        <f t="shared" si="15"/>
        <v>20+</v>
      </c>
      <c r="F163" s="1">
        <f>INDEX('App-Click Conversion by Rank'!$K$12:$S$31,MATCH(E163,'App-Click Conversion by Rank'!$J$12:$J$31,0),MATCH(D163,'App-Click Conversion by Rank'!$K$11:$S$11,0))</f>
        <v>5.9893958237873931E-3</v>
      </c>
      <c r="G163" s="3">
        <f t="shared" si="16"/>
        <v>2.9946979118936966E-2</v>
      </c>
      <c r="H163" s="5">
        <f t="shared" si="17"/>
        <v>1.018197290043857</v>
      </c>
      <c r="I163">
        <f t="shared" si="18"/>
        <v>170</v>
      </c>
    </row>
    <row r="164" spans="1:9" x14ac:dyDescent="0.45">
      <c r="A164">
        <v>35</v>
      </c>
      <c r="B164">
        <v>450</v>
      </c>
      <c r="C164">
        <v>1</v>
      </c>
      <c r="D164">
        <f t="shared" si="14"/>
        <v>450</v>
      </c>
      <c r="E164" t="str">
        <f t="shared" si="15"/>
        <v>20+</v>
      </c>
      <c r="F164" s="1">
        <f>INDEX('App-Click Conversion by Rank'!$K$12:$S$31,MATCH(E164,'App-Click Conversion by Rank'!$J$12:$J$31,0),MATCH(D164,'App-Click Conversion by Rank'!$K$11:$S$11,0))</f>
        <v>5.6022408963585435E-3</v>
      </c>
      <c r="G164" s="3">
        <f t="shared" si="16"/>
        <v>5.6022408963585435E-3</v>
      </c>
      <c r="H164" s="5">
        <f t="shared" si="17"/>
        <v>0.19607843137254902</v>
      </c>
      <c r="I164">
        <f t="shared" si="18"/>
        <v>35</v>
      </c>
    </row>
    <row r="165" spans="1:9" x14ac:dyDescent="0.45">
      <c r="A165">
        <v>32</v>
      </c>
      <c r="B165">
        <v>400</v>
      </c>
      <c r="C165">
        <v>2</v>
      </c>
      <c r="D165">
        <f t="shared" si="14"/>
        <v>400</v>
      </c>
      <c r="E165" t="str">
        <f t="shared" si="15"/>
        <v>20+</v>
      </c>
      <c r="F165" s="1">
        <f>INDEX('App-Click Conversion by Rank'!$K$12:$S$31,MATCH(E165,'App-Click Conversion by Rank'!$J$12:$J$31,0),MATCH(D165,'App-Click Conversion by Rank'!$K$11:$S$11,0))</f>
        <v>6.4196625091709463E-3</v>
      </c>
      <c r="G165" s="3">
        <f t="shared" si="16"/>
        <v>1.2839325018341893E-2</v>
      </c>
      <c r="H165" s="5">
        <f t="shared" si="17"/>
        <v>0.41085840058694056</v>
      </c>
      <c r="I165">
        <f t="shared" si="18"/>
        <v>64</v>
      </c>
    </row>
    <row r="166" spans="1:9" x14ac:dyDescent="0.45">
      <c r="A166">
        <v>3</v>
      </c>
      <c r="B166">
        <v>100</v>
      </c>
      <c r="C166">
        <v>1</v>
      </c>
      <c r="D166" t="str">
        <f t="shared" si="14"/>
        <v>&lt;=150</v>
      </c>
      <c r="E166">
        <f t="shared" si="15"/>
        <v>3</v>
      </c>
      <c r="F166" s="1">
        <f>INDEX('App-Click Conversion by Rank'!$K$12:$S$31,MATCH(E166,'App-Click Conversion by Rank'!$J$12:$J$31,0),MATCH(D166,'App-Click Conversion by Rank'!$K$11:$S$11,0))</f>
        <v>9.8360655737704916E-2</v>
      </c>
      <c r="G166" s="3">
        <f t="shared" si="16"/>
        <v>9.8360655737704916E-2</v>
      </c>
      <c r="H166" s="5">
        <f t="shared" si="17"/>
        <v>0.29508196721311475</v>
      </c>
      <c r="I166">
        <f t="shared" si="18"/>
        <v>3</v>
      </c>
    </row>
    <row r="167" spans="1:9" x14ac:dyDescent="0.45">
      <c r="A167">
        <v>13</v>
      </c>
      <c r="B167">
        <v>250</v>
      </c>
      <c r="C167">
        <v>1</v>
      </c>
      <c r="D167">
        <f t="shared" si="14"/>
        <v>250</v>
      </c>
      <c r="E167">
        <f t="shared" si="15"/>
        <v>13</v>
      </c>
      <c r="F167" s="1">
        <f>INDEX('App-Click Conversion by Rank'!$K$12:$S$31,MATCH(E167,'App-Click Conversion by Rank'!$J$12:$J$31,0),MATCH(D167,'App-Click Conversion by Rank'!$K$11:$S$11,0))</f>
        <v>1.201923076923077E-2</v>
      </c>
      <c r="G167" s="3">
        <f t="shared" si="16"/>
        <v>1.201923076923077E-2</v>
      </c>
      <c r="H167" s="5">
        <f t="shared" si="17"/>
        <v>0.15625</v>
      </c>
      <c r="I167">
        <f t="shared" si="18"/>
        <v>13</v>
      </c>
    </row>
    <row r="168" spans="1:9" x14ac:dyDescent="0.45">
      <c r="A168">
        <v>23</v>
      </c>
      <c r="B168">
        <v>650</v>
      </c>
      <c r="C168">
        <v>1</v>
      </c>
      <c r="D168" t="str">
        <f t="shared" si="14"/>
        <v>501+</v>
      </c>
      <c r="E168" t="str">
        <f t="shared" si="15"/>
        <v>20+</v>
      </c>
      <c r="F168" s="1">
        <f>INDEX('App-Click Conversion by Rank'!$K$12:$S$31,MATCH(E168,'App-Click Conversion by Rank'!$J$12:$J$31,0),MATCH(D168,'App-Click Conversion by Rank'!$K$11:$S$11,0))</f>
        <v>5.9893958237873931E-3</v>
      </c>
      <c r="G168" s="3">
        <f t="shared" si="16"/>
        <v>5.9893958237873931E-3</v>
      </c>
      <c r="H168" s="5">
        <f t="shared" si="17"/>
        <v>0.13775610394711005</v>
      </c>
      <c r="I168">
        <f t="shared" si="18"/>
        <v>23</v>
      </c>
    </row>
    <row r="169" spans="1:9" x14ac:dyDescent="0.45">
      <c r="A169">
        <v>36</v>
      </c>
      <c r="B169">
        <v>350</v>
      </c>
      <c r="C169">
        <v>1</v>
      </c>
      <c r="D169">
        <f t="shared" si="14"/>
        <v>350</v>
      </c>
      <c r="E169" t="str">
        <f t="shared" si="15"/>
        <v>20+</v>
      </c>
      <c r="F169" s="1">
        <f>INDEX('App-Click Conversion by Rank'!$K$12:$S$31,MATCH(E169,'App-Click Conversion by Rank'!$J$12:$J$31,0),MATCH(D169,'App-Click Conversion by Rank'!$K$11:$S$11,0))</f>
        <v>4.1279669762641896E-3</v>
      </c>
      <c r="G169" s="3">
        <f t="shared" si="16"/>
        <v>4.1279669762641896E-3</v>
      </c>
      <c r="H169" s="5">
        <f t="shared" si="17"/>
        <v>0.14860681114551083</v>
      </c>
      <c r="I169">
        <f t="shared" si="18"/>
        <v>36</v>
      </c>
    </row>
    <row r="170" spans="1:9" x14ac:dyDescent="0.45">
      <c r="A170">
        <v>5</v>
      </c>
      <c r="B170">
        <v>350</v>
      </c>
      <c r="C170">
        <v>114</v>
      </c>
      <c r="D170">
        <f t="shared" si="14"/>
        <v>350</v>
      </c>
      <c r="E170">
        <f t="shared" si="15"/>
        <v>5</v>
      </c>
      <c r="F170" s="1">
        <f>INDEX('App-Click Conversion by Rank'!$K$12:$S$31,MATCH(E170,'App-Click Conversion by Rank'!$J$12:$J$31,0),MATCH(D170,'App-Click Conversion by Rank'!$K$11:$S$11,0))</f>
        <v>3.7553141237600375E-2</v>
      </c>
      <c r="G170" s="3">
        <f t="shared" si="16"/>
        <v>4.281058101086443</v>
      </c>
      <c r="H170" s="5">
        <f t="shared" si="17"/>
        <v>21.405290505432216</v>
      </c>
      <c r="I170">
        <f t="shared" si="18"/>
        <v>570</v>
      </c>
    </row>
    <row r="171" spans="1:9" x14ac:dyDescent="0.45">
      <c r="A171">
        <v>10</v>
      </c>
      <c r="B171">
        <v>400</v>
      </c>
      <c r="C171">
        <v>170</v>
      </c>
      <c r="D171">
        <f t="shared" si="14"/>
        <v>400</v>
      </c>
      <c r="E171">
        <f t="shared" si="15"/>
        <v>10</v>
      </c>
      <c r="F171" s="1">
        <f>INDEX('App-Click Conversion by Rank'!$K$12:$S$31,MATCH(E171,'App-Click Conversion by Rank'!$J$12:$J$31,0),MATCH(D171,'App-Click Conversion by Rank'!$K$11:$S$11,0))</f>
        <v>9.4051257935574891E-3</v>
      </c>
      <c r="G171" s="3">
        <f t="shared" si="16"/>
        <v>1.5988713849047731</v>
      </c>
      <c r="H171" s="5">
        <f t="shared" si="17"/>
        <v>15.988713849047731</v>
      </c>
      <c r="I171">
        <f t="shared" si="18"/>
        <v>1700</v>
      </c>
    </row>
    <row r="172" spans="1:9" x14ac:dyDescent="0.45">
      <c r="A172">
        <v>3</v>
      </c>
      <c r="B172">
        <v>400</v>
      </c>
      <c r="C172">
        <v>587</v>
      </c>
      <c r="D172">
        <f t="shared" si="14"/>
        <v>400</v>
      </c>
      <c r="E172">
        <f t="shared" si="15"/>
        <v>3</v>
      </c>
      <c r="F172" s="1">
        <f>INDEX('App-Click Conversion by Rank'!$K$12:$S$31,MATCH(E172,'App-Click Conversion by Rank'!$J$12:$J$31,0),MATCH(D172,'App-Click Conversion by Rank'!$K$11:$S$11,0))</f>
        <v>5.9630292188431723E-2</v>
      </c>
      <c r="G172" s="3">
        <f t="shared" si="16"/>
        <v>35.002981514609424</v>
      </c>
      <c r="H172" s="5">
        <f t="shared" si="17"/>
        <v>105.00894454382828</v>
      </c>
      <c r="I172">
        <f t="shared" si="18"/>
        <v>1761</v>
      </c>
    </row>
    <row r="173" spans="1:9" x14ac:dyDescent="0.45">
      <c r="A173">
        <v>20</v>
      </c>
      <c r="B173">
        <v>500</v>
      </c>
      <c r="C173">
        <v>185</v>
      </c>
      <c r="D173">
        <f t="shared" si="14"/>
        <v>500</v>
      </c>
      <c r="E173" t="str">
        <f t="shared" si="15"/>
        <v>20+</v>
      </c>
      <c r="F173" s="1">
        <f>INDEX('App-Click Conversion by Rank'!$K$12:$S$31,MATCH(E173,'App-Click Conversion by Rank'!$J$12:$J$31,0),MATCH(D173,'App-Click Conversion by Rank'!$K$11:$S$11,0))</f>
        <v>5.1121544079290558E-3</v>
      </c>
      <c r="G173" s="3">
        <f t="shared" si="16"/>
        <v>0.94574856546687536</v>
      </c>
      <c r="H173" s="5">
        <f t="shared" si="17"/>
        <v>18.914971309337506</v>
      </c>
      <c r="I173">
        <f t="shared" si="18"/>
        <v>3700</v>
      </c>
    </row>
    <row r="174" spans="1:9" x14ac:dyDescent="0.45">
      <c r="A174">
        <v>9</v>
      </c>
      <c r="B174">
        <v>450</v>
      </c>
      <c r="C174">
        <v>395</v>
      </c>
      <c r="D174">
        <f t="shared" si="14"/>
        <v>450</v>
      </c>
      <c r="E174">
        <f t="shared" si="15"/>
        <v>9</v>
      </c>
      <c r="F174" s="1">
        <f>INDEX('App-Click Conversion by Rank'!$K$12:$S$31,MATCH(E174,'App-Click Conversion by Rank'!$J$12:$J$31,0),MATCH(D174,'App-Click Conversion by Rank'!$K$11:$S$11,0))</f>
        <v>7.0911722141823444E-3</v>
      </c>
      <c r="G174" s="3">
        <f t="shared" si="16"/>
        <v>2.8010130246020259</v>
      </c>
      <c r="H174" s="5">
        <f t="shared" si="17"/>
        <v>25.209117221418232</v>
      </c>
      <c r="I174">
        <f t="shared" si="18"/>
        <v>3555</v>
      </c>
    </row>
    <row r="175" spans="1:9" x14ac:dyDescent="0.45">
      <c r="A175">
        <v>33</v>
      </c>
      <c r="B175">
        <v>550</v>
      </c>
      <c r="C175">
        <v>51</v>
      </c>
      <c r="D175" t="str">
        <f t="shared" ref="D175:D238" si="19">IF(B175&lt;=150,"&lt;=150",IF(B175&gt;500,"501+",B175))</f>
        <v>501+</v>
      </c>
      <c r="E175" t="str">
        <f t="shared" ref="E175:E238" si="20">IF(A175&gt;=20,"20+",A175)</f>
        <v>20+</v>
      </c>
      <c r="F175" s="1">
        <f>INDEX('App-Click Conversion by Rank'!$K$12:$S$31,MATCH(E175,'App-Click Conversion by Rank'!$J$12:$J$31,0),MATCH(D175,'App-Click Conversion by Rank'!$K$11:$S$11,0))</f>
        <v>5.9893958237873931E-3</v>
      </c>
      <c r="G175" s="3">
        <f t="shared" ref="G175:G238" si="21">C175*F175</f>
        <v>0.30545918701315705</v>
      </c>
      <c r="H175" s="5">
        <f t="shared" ref="H175:H238" si="22">G175*A175</f>
        <v>10.080153171434183</v>
      </c>
      <c r="I175">
        <f t="shared" ref="I175:I238" si="23">C175*A175</f>
        <v>1683</v>
      </c>
    </row>
    <row r="176" spans="1:9" x14ac:dyDescent="0.45">
      <c r="A176">
        <v>9</v>
      </c>
      <c r="B176">
        <v>550</v>
      </c>
      <c r="C176">
        <v>267</v>
      </c>
      <c r="D176" t="str">
        <f t="shared" si="19"/>
        <v>501+</v>
      </c>
      <c r="E176">
        <f t="shared" si="20"/>
        <v>9</v>
      </c>
      <c r="F176" s="1">
        <f>INDEX('App-Click Conversion by Rank'!$K$12:$S$31,MATCH(E176,'App-Click Conversion by Rank'!$J$12:$J$31,0),MATCH(D176,'App-Click Conversion by Rank'!$K$11:$S$11,0))</f>
        <v>6.6039061402276243E-3</v>
      </c>
      <c r="G176" s="3">
        <f t="shared" si="21"/>
        <v>1.7632429394407756</v>
      </c>
      <c r="H176" s="5">
        <f t="shared" si="22"/>
        <v>15.869186454966981</v>
      </c>
      <c r="I176">
        <f t="shared" si="23"/>
        <v>2403</v>
      </c>
    </row>
    <row r="177" spans="1:9" x14ac:dyDescent="0.45">
      <c r="A177">
        <v>33</v>
      </c>
      <c r="B177">
        <v>450</v>
      </c>
      <c r="C177">
        <v>2</v>
      </c>
      <c r="D177">
        <f t="shared" si="19"/>
        <v>450</v>
      </c>
      <c r="E177" t="str">
        <f t="shared" si="20"/>
        <v>20+</v>
      </c>
      <c r="F177" s="1">
        <f>INDEX('App-Click Conversion by Rank'!$K$12:$S$31,MATCH(E177,'App-Click Conversion by Rank'!$J$12:$J$31,0),MATCH(D177,'App-Click Conversion by Rank'!$K$11:$S$11,0))</f>
        <v>5.6022408963585435E-3</v>
      </c>
      <c r="G177" s="3">
        <f t="shared" si="21"/>
        <v>1.1204481792717087E-2</v>
      </c>
      <c r="H177" s="5">
        <f t="shared" si="22"/>
        <v>0.36974789915966388</v>
      </c>
      <c r="I177">
        <f t="shared" si="23"/>
        <v>66</v>
      </c>
    </row>
    <row r="178" spans="1:9" x14ac:dyDescent="0.45">
      <c r="A178">
        <v>4</v>
      </c>
      <c r="B178">
        <v>550</v>
      </c>
      <c r="C178">
        <v>144</v>
      </c>
      <c r="D178" t="str">
        <f t="shared" si="19"/>
        <v>501+</v>
      </c>
      <c r="E178">
        <f t="shared" si="20"/>
        <v>4</v>
      </c>
      <c r="F178" s="1">
        <f>INDEX('App-Click Conversion by Rank'!$K$12:$S$31,MATCH(E178,'App-Click Conversion by Rank'!$J$12:$J$31,0),MATCH(D178,'App-Click Conversion by Rank'!$K$11:$S$11,0))</f>
        <v>3.6664084688871675E-2</v>
      </c>
      <c r="G178" s="3">
        <f t="shared" si="21"/>
        <v>5.279628195197521</v>
      </c>
      <c r="H178" s="5">
        <f t="shared" si="22"/>
        <v>21.118512780790084</v>
      </c>
      <c r="I178">
        <f t="shared" si="23"/>
        <v>576</v>
      </c>
    </row>
    <row r="179" spans="1:9" x14ac:dyDescent="0.45">
      <c r="A179">
        <v>20</v>
      </c>
      <c r="B179">
        <v>300</v>
      </c>
      <c r="C179">
        <v>2</v>
      </c>
      <c r="D179">
        <f t="shared" si="19"/>
        <v>300</v>
      </c>
      <c r="E179" t="str">
        <f t="shared" si="20"/>
        <v>20+</v>
      </c>
      <c r="F179" s="1">
        <f>INDEX('App-Click Conversion by Rank'!$K$12:$S$31,MATCH(E179,'App-Click Conversion by Rank'!$J$12:$J$31,0),MATCH(D179,'App-Click Conversion by Rank'!$K$11:$S$11,0))</f>
        <v>4.5385779122541605E-3</v>
      </c>
      <c r="G179" s="3">
        <f t="shared" si="21"/>
        <v>9.0771558245083209E-3</v>
      </c>
      <c r="H179" s="5">
        <f t="shared" si="22"/>
        <v>0.18154311649016641</v>
      </c>
      <c r="I179">
        <f t="shared" si="23"/>
        <v>40</v>
      </c>
    </row>
    <row r="180" spans="1:9" x14ac:dyDescent="0.45">
      <c r="A180">
        <v>2</v>
      </c>
      <c r="B180">
        <v>500</v>
      </c>
      <c r="C180">
        <v>127</v>
      </c>
      <c r="D180">
        <f t="shared" si="19"/>
        <v>500</v>
      </c>
      <c r="E180">
        <f t="shared" si="20"/>
        <v>2</v>
      </c>
      <c r="F180" s="1">
        <f>INDEX('App-Click Conversion by Rank'!$K$12:$S$31,MATCH(E180,'App-Click Conversion by Rank'!$J$12:$J$31,0),MATCH(D180,'App-Click Conversion by Rank'!$K$11:$S$11,0))</f>
        <v>7.0611908899661568E-2</v>
      </c>
      <c r="G180" s="3">
        <f t="shared" si="21"/>
        <v>8.9677124302570199</v>
      </c>
      <c r="H180" s="5">
        <f t="shared" si="22"/>
        <v>17.93542486051404</v>
      </c>
      <c r="I180">
        <f t="shared" si="23"/>
        <v>254</v>
      </c>
    </row>
    <row r="181" spans="1:9" x14ac:dyDescent="0.45">
      <c r="A181">
        <v>11</v>
      </c>
      <c r="B181">
        <v>600</v>
      </c>
      <c r="C181">
        <v>25</v>
      </c>
      <c r="D181" t="str">
        <f t="shared" si="19"/>
        <v>501+</v>
      </c>
      <c r="E181">
        <f t="shared" si="20"/>
        <v>11</v>
      </c>
      <c r="F181" s="1">
        <f>INDEX('App-Click Conversion by Rank'!$K$12:$S$31,MATCH(E181,'App-Click Conversion by Rank'!$J$12:$J$31,0),MATCH(D181,'App-Click Conversion by Rank'!$K$11:$S$11,0))</f>
        <v>7.0175438596491229E-3</v>
      </c>
      <c r="G181" s="3">
        <f t="shared" si="21"/>
        <v>0.17543859649122806</v>
      </c>
      <c r="H181" s="5">
        <f t="shared" si="22"/>
        <v>1.9298245614035086</v>
      </c>
      <c r="I181">
        <f t="shared" si="23"/>
        <v>275</v>
      </c>
    </row>
    <row r="182" spans="1:9" x14ac:dyDescent="0.45">
      <c r="A182">
        <v>36</v>
      </c>
      <c r="B182">
        <v>550</v>
      </c>
      <c r="C182">
        <v>35</v>
      </c>
      <c r="D182" t="str">
        <f t="shared" si="19"/>
        <v>501+</v>
      </c>
      <c r="E182" t="str">
        <f t="shared" si="20"/>
        <v>20+</v>
      </c>
      <c r="F182" s="1">
        <f>INDEX('App-Click Conversion by Rank'!$K$12:$S$31,MATCH(E182,'App-Click Conversion by Rank'!$J$12:$J$31,0),MATCH(D182,'App-Click Conversion by Rank'!$K$11:$S$11,0))</f>
        <v>5.9893958237873931E-3</v>
      </c>
      <c r="G182" s="3">
        <f t="shared" si="21"/>
        <v>0.20962885383255875</v>
      </c>
      <c r="H182" s="5">
        <f t="shared" si="22"/>
        <v>7.5466387379721152</v>
      </c>
      <c r="I182">
        <f t="shared" si="23"/>
        <v>1260</v>
      </c>
    </row>
    <row r="183" spans="1:9" x14ac:dyDescent="0.45">
      <c r="A183">
        <v>28</v>
      </c>
      <c r="B183">
        <v>600</v>
      </c>
      <c r="C183">
        <v>12</v>
      </c>
      <c r="D183" t="str">
        <f t="shared" si="19"/>
        <v>501+</v>
      </c>
      <c r="E183" t="str">
        <f t="shared" si="20"/>
        <v>20+</v>
      </c>
      <c r="F183" s="1">
        <f>INDEX('App-Click Conversion by Rank'!$K$12:$S$31,MATCH(E183,'App-Click Conversion by Rank'!$J$12:$J$31,0),MATCH(D183,'App-Click Conversion by Rank'!$K$11:$S$11,0))</f>
        <v>5.9893958237873931E-3</v>
      </c>
      <c r="G183" s="3">
        <f t="shared" si="21"/>
        <v>7.1872749885448714E-2</v>
      </c>
      <c r="H183" s="5">
        <f t="shared" si="22"/>
        <v>2.0124369967925642</v>
      </c>
      <c r="I183">
        <f t="shared" si="23"/>
        <v>336</v>
      </c>
    </row>
    <row r="184" spans="1:9" x14ac:dyDescent="0.45">
      <c r="A184">
        <v>16</v>
      </c>
      <c r="B184">
        <v>600</v>
      </c>
      <c r="C184">
        <v>3</v>
      </c>
      <c r="D184" t="str">
        <f t="shared" si="19"/>
        <v>501+</v>
      </c>
      <c r="E184">
        <f t="shared" si="20"/>
        <v>16</v>
      </c>
      <c r="F184" s="1">
        <f>INDEX('App-Click Conversion by Rank'!$K$12:$S$31,MATCH(E184,'App-Click Conversion by Rank'!$J$12:$J$31,0),MATCH(D184,'App-Click Conversion by Rank'!$K$11:$S$11,0))</f>
        <v>3.5842293906810036E-3</v>
      </c>
      <c r="G184" s="3">
        <f t="shared" si="21"/>
        <v>1.0752688172043012E-2</v>
      </c>
      <c r="H184" s="5">
        <f t="shared" si="22"/>
        <v>0.17204301075268819</v>
      </c>
      <c r="I184">
        <f t="shared" si="23"/>
        <v>48</v>
      </c>
    </row>
    <row r="185" spans="1:9" x14ac:dyDescent="0.45">
      <c r="A185">
        <v>1</v>
      </c>
      <c r="B185">
        <v>350</v>
      </c>
      <c r="C185">
        <v>40</v>
      </c>
      <c r="D185">
        <f t="shared" si="19"/>
        <v>350</v>
      </c>
      <c r="E185">
        <f t="shared" si="20"/>
        <v>1</v>
      </c>
      <c r="F185" s="1">
        <f>INDEX('App-Click Conversion by Rank'!$K$12:$S$31,MATCH(E185,'App-Click Conversion by Rank'!$J$12:$J$31,0),MATCH(D185,'App-Click Conversion by Rank'!$K$11:$S$11,0))</f>
        <v>0.22531939605110338</v>
      </c>
      <c r="G185" s="3">
        <f t="shared" si="21"/>
        <v>9.0127758420441353</v>
      </c>
      <c r="H185" s="5">
        <f t="shared" si="22"/>
        <v>9.0127758420441353</v>
      </c>
      <c r="I185">
        <f t="shared" si="23"/>
        <v>40</v>
      </c>
    </row>
    <row r="186" spans="1:9" x14ac:dyDescent="0.45">
      <c r="A186">
        <v>30</v>
      </c>
      <c r="B186">
        <v>350</v>
      </c>
      <c r="C186">
        <v>1</v>
      </c>
      <c r="D186">
        <f t="shared" si="19"/>
        <v>350</v>
      </c>
      <c r="E186" t="str">
        <f t="shared" si="20"/>
        <v>20+</v>
      </c>
      <c r="F186" s="1">
        <f>INDEX('App-Click Conversion by Rank'!$K$12:$S$31,MATCH(E186,'App-Click Conversion by Rank'!$J$12:$J$31,0),MATCH(D186,'App-Click Conversion by Rank'!$K$11:$S$11,0))</f>
        <v>4.1279669762641896E-3</v>
      </c>
      <c r="G186" s="3">
        <f t="shared" si="21"/>
        <v>4.1279669762641896E-3</v>
      </c>
      <c r="H186" s="5">
        <f t="shared" si="22"/>
        <v>0.12383900928792568</v>
      </c>
      <c r="I186">
        <f t="shared" si="23"/>
        <v>30</v>
      </c>
    </row>
    <row r="187" spans="1:9" x14ac:dyDescent="0.45">
      <c r="A187">
        <v>9</v>
      </c>
      <c r="B187">
        <v>150</v>
      </c>
      <c r="C187">
        <v>1</v>
      </c>
      <c r="D187" t="str">
        <f t="shared" si="19"/>
        <v>&lt;=150</v>
      </c>
      <c r="E187">
        <f t="shared" si="20"/>
        <v>9</v>
      </c>
      <c r="F187" s="1">
        <f>INDEX('App-Click Conversion by Rank'!$K$12:$S$31,MATCH(E187,'App-Click Conversion by Rank'!$J$12:$J$31,0),MATCH(D187,'App-Click Conversion by Rank'!$K$11:$S$11,0))</f>
        <v>0</v>
      </c>
      <c r="G187" s="3">
        <f t="shared" si="21"/>
        <v>0</v>
      </c>
      <c r="H187" s="5">
        <f t="shared" si="22"/>
        <v>0</v>
      </c>
      <c r="I187">
        <f t="shared" si="23"/>
        <v>9</v>
      </c>
    </row>
    <row r="188" spans="1:9" x14ac:dyDescent="0.45">
      <c r="A188">
        <v>13</v>
      </c>
      <c r="B188">
        <v>700</v>
      </c>
      <c r="C188">
        <v>1</v>
      </c>
      <c r="D188" t="str">
        <f t="shared" si="19"/>
        <v>501+</v>
      </c>
      <c r="E188">
        <f t="shared" si="20"/>
        <v>13</v>
      </c>
      <c r="F188" s="1">
        <f>INDEX('App-Click Conversion by Rank'!$K$12:$S$31,MATCH(E188,'App-Click Conversion by Rank'!$J$12:$J$31,0),MATCH(D188,'App-Click Conversion by Rank'!$K$11:$S$11,0))</f>
        <v>3.8179596823457542E-3</v>
      </c>
      <c r="G188" s="3">
        <f t="shared" si="21"/>
        <v>3.8179596823457542E-3</v>
      </c>
      <c r="H188" s="5">
        <f t="shared" si="22"/>
        <v>4.9633475870494805E-2</v>
      </c>
      <c r="I188">
        <f t="shared" si="23"/>
        <v>13</v>
      </c>
    </row>
    <row r="189" spans="1:9" x14ac:dyDescent="0.45">
      <c r="A189">
        <v>28</v>
      </c>
      <c r="B189">
        <v>300</v>
      </c>
      <c r="C189">
        <v>1</v>
      </c>
      <c r="D189">
        <f t="shared" si="19"/>
        <v>300</v>
      </c>
      <c r="E189" t="str">
        <f t="shared" si="20"/>
        <v>20+</v>
      </c>
      <c r="F189" s="1">
        <f>INDEX('App-Click Conversion by Rank'!$K$12:$S$31,MATCH(E189,'App-Click Conversion by Rank'!$J$12:$J$31,0),MATCH(D189,'App-Click Conversion by Rank'!$K$11:$S$11,0))</f>
        <v>4.5385779122541605E-3</v>
      </c>
      <c r="G189" s="3">
        <f t="shared" si="21"/>
        <v>4.5385779122541605E-3</v>
      </c>
      <c r="H189" s="5">
        <f t="shared" si="22"/>
        <v>0.12708018154311648</v>
      </c>
      <c r="I189">
        <f t="shared" si="23"/>
        <v>28</v>
      </c>
    </row>
    <row r="190" spans="1:9" x14ac:dyDescent="0.45">
      <c r="A190">
        <v>25</v>
      </c>
      <c r="B190">
        <v>400</v>
      </c>
      <c r="C190">
        <v>7</v>
      </c>
      <c r="D190">
        <f t="shared" si="19"/>
        <v>400</v>
      </c>
      <c r="E190" t="str">
        <f t="shared" si="20"/>
        <v>20+</v>
      </c>
      <c r="F190" s="1">
        <f>INDEX('App-Click Conversion by Rank'!$K$12:$S$31,MATCH(E190,'App-Click Conversion by Rank'!$J$12:$J$31,0),MATCH(D190,'App-Click Conversion by Rank'!$K$11:$S$11,0))</f>
        <v>6.4196625091709463E-3</v>
      </c>
      <c r="G190" s="3">
        <f t="shared" si="21"/>
        <v>4.4937637564196622E-2</v>
      </c>
      <c r="H190" s="5">
        <f t="shared" si="22"/>
        <v>1.1234409391049156</v>
      </c>
      <c r="I190">
        <f t="shared" si="23"/>
        <v>175</v>
      </c>
    </row>
    <row r="191" spans="1:9" x14ac:dyDescent="0.45">
      <c r="A191">
        <v>33</v>
      </c>
      <c r="B191">
        <v>650</v>
      </c>
      <c r="C191">
        <v>1</v>
      </c>
      <c r="D191" t="str">
        <f t="shared" si="19"/>
        <v>501+</v>
      </c>
      <c r="E191" t="str">
        <f t="shared" si="20"/>
        <v>20+</v>
      </c>
      <c r="F191" s="1">
        <f>INDEX('App-Click Conversion by Rank'!$K$12:$S$31,MATCH(E191,'App-Click Conversion by Rank'!$J$12:$J$31,0),MATCH(D191,'App-Click Conversion by Rank'!$K$11:$S$11,0))</f>
        <v>5.9893958237873931E-3</v>
      </c>
      <c r="G191" s="3">
        <f t="shared" si="21"/>
        <v>5.9893958237873931E-3</v>
      </c>
      <c r="H191" s="5">
        <f t="shared" si="22"/>
        <v>0.19765006218498396</v>
      </c>
      <c r="I191">
        <f t="shared" si="23"/>
        <v>33</v>
      </c>
    </row>
    <row r="192" spans="1:9" x14ac:dyDescent="0.45">
      <c r="A192">
        <v>36</v>
      </c>
      <c r="B192">
        <v>650</v>
      </c>
      <c r="C192">
        <v>1</v>
      </c>
      <c r="D192" t="str">
        <f t="shared" si="19"/>
        <v>501+</v>
      </c>
      <c r="E192" t="str">
        <f t="shared" si="20"/>
        <v>20+</v>
      </c>
      <c r="F192" s="1">
        <f>INDEX('App-Click Conversion by Rank'!$K$12:$S$31,MATCH(E192,'App-Click Conversion by Rank'!$J$12:$J$31,0),MATCH(D192,'App-Click Conversion by Rank'!$K$11:$S$11,0))</f>
        <v>5.9893958237873931E-3</v>
      </c>
      <c r="G192" s="3">
        <f t="shared" si="21"/>
        <v>5.9893958237873931E-3</v>
      </c>
      <c r="H192" s="5">
        <f t="shared" si="22"/>
        <v>0.21561824965634616</v>
      </c>
      <c r="I192">
        <f t="shared" si="23"/>
        <v>36</v>
      </c>
    </row>
    <row r="193" spans="1:9" x14ac:dyDescent="0.45">
      <c r="A193">
        <v>1</v>
      </c>
      <c r="B193">
        <v>150</v>
      </c>
      <c r="C193">
        <v>1</v>
      </c>
      <c r="D193" t="str">
        <f t="shared" si="19"/>
        <v>&lt;=150</v>
      </c>
      <c r="E193">
        <f t="shared" si="20"/>
        <v>1</v>
      </c>
      <c r="F193" s="1">
        <f>INDEX('App-Click Conversion by Rank'!$K$12:$S$31,MATCH(E193,'App-Click Conversion by Rank'!$J$12:$J$31,0),MATCH(D193,'App-Click Conversion by Rank'!$K$11:$S$11,0))</f>
        <v>0.37077294685990336</v>
      </c>
      <c r="G193" s="3">
        <f t="shared" si="21"/>
        <v>0.37077294685990336</v>
      </c>
      <c r="H193" s="5">
        <f t="shared" si="22"/>
        <v>0.37077294685990336</v>
      </c>
      <c r="I193">
        <f t="shared" si="23"/>
        <v>1</v>
      </c>
    </row>
    <row r="194" spans="1:9" x14ac:dyDescent="0.45">
      <c r="A194">
        <v>34</v>
      </c>
      <c r="B194">
        <v>650</v>
      </c>
      <c r="C194">
        <v>1</v>
      </c>
      <c r="D194" t="str">
        <f t="shared" si="19"/>
        <v>501+</v>
      </c>
      <c r="E194" t="str">
        <f t="shared" si="20"/>
        <v>20+</v>
      </c>
      <c r="F194" s="1">
        <f>INDEX('App-Click Conversion by Rank'!$K$12:$S$31,MATCH(E194,'App-Click Conversion by Rank'!$J$12:$J$31,0),MATCH(D194,'App-Click Conversion by Rank'!$K$11:$S$11,0))</f>
        <v>5.9893958237873931E-3</v>
      </c>
      <c r="G194" s="3">
        <f t="shared" si="21"/>
        <v>5.9893958237873931E-3</v>
      </c>
      <c r="H194" s="5">
        <f t="shared" si="22"/>
        <v>0.20363945800877137</v>
      </c>
      <c r="I194">
        <f t="shared" si="23"/>
        <v>34</v>
      </c>
    </row>
    <row r="195" spans="1:9" x14ac:dyDescent="0.45">
      <c r="A195">
        <v>8</v>
      </c>
      <c r="B195">
        <v>550</v>
      </c>
      <c r="C195">
        <v>246</v>
      </c>
      <c r="D195" t="str">
        <f t="shared" si="19"/>
        <v>501+</v>
      </c>
      <c r="E195">
        <f t="shared" si="20"/>
        <v>8</v>
      </c>
      <c r="F195" s="1">
        <f>INDEX('App-Click Conversion by Rank'!$K$12:$S$31,MATCH(E195,'App-Click Conversion by Rank'!$J$12:$J$31,0),MATCH(D195,'App-Click Conversion by Rank'!$K$11:$S$11,0))</f>
        <v>1.0399562123700055E-2</v>
      </c>
      <c r="G195" s="3">
        <f t="shared" si="21"/>
        <v>2.5582922824302137</v>
      </c>
      <c r="H195" s="5">
        <f t="shared" si="22"/>
        <v>20.466338259441709</v>
      </c>
      <c r="I195">
        <f t="shared" si="23"/>
        <v>1968</v>
      </c>
    </row>
    <row r="196" spans="1:9" x14ac:dyDescent="0.45">
      <c r="A196">
        <v>8</v>
      </c>
      <c r="B196">
        <v>500</v>
      </c>
      <c r="C196">
        <v>390</v>
      </c>
      <c r="D196">
        <f t="shared" si="19"/>
        <v>500</v>
      </c>
      <c r="E196">
        <f t="shared" si="20"/>
        <v>8</v>
      </c>
      <c r="F196" s="1">
        <f>INDEX('App-Click Conversion by Rank'!$K$12:$S$31,MATCH(E196,'App-Click Conversion by Rank'!$J$12:$J$31,0),MATCH(D196,'App-Click Conversion by Rank'!$K$11:$S$11,0))</f>
        <v>9.114719748559456E-3</v>
      </c>
      <c r="G196" s="3">
        <f t="shared" si="21"/>
        <v>3.5547407019381878</v>
      </c>
      <c r="H196" s="5">
        <f t="shared" si="22"/>
        <v>28.437925615505502</v>
      </c>
      <c r="I196">
        <f t="shared" si="23"/>
        <v>3120</v>
      </c>
    </row>
    <row r="197" spans="1:9" x14ac:dyDescent="0.45">
      <c r="A197">
        <v>10</v>
      </c>
      <c r="B197">
        <v>550</v>
      </c>
      <c r="C197">
        <v>340</v>
      </c>
      <c r="D197" t="str">
        <f t="shared" si="19"/>
        <v>501+</v>
      </c>
      <c r="E197">
        <f t="shared" si="20"/>
        <v>10</v>
      </c>
      <c r="F197" s="1">
        <f>INDEX('App-Click Conversion by Rank'!$K$12:$S$31,MATCH(E197,'App-Click Conversion by Rank'!$J$12:$J$31,0),MATCH(D197,'App-Click Conversion by Rank'!$K$11:$S$11,0))</f>
        <v>7.1592210767468497E-3</v>
      </c>
      <c r="G197" s="3">
        <f t="shared" si="21"/>
        <v>2.4341351660939288</v>
      </c>
      <c r="H197" s="5">
        <f t="shared" si="22"/>
        <v>24.341351660939289</v>
      </c>
      <c r="I197">
        <f t="shared" si="23"/>
        <v>3400</v>
      </c>
    </row>
    <row r="198" spans="1:9" x14ac:dyDescent="0.45">
      <c r="A198">
        <v>16</v>
      </c>
      <c r="B198">
        <v>500</v>
      </c>
      <c r="C198">
        <v>70</v>
      </c>
      <c r="D198">
        <f t="shared" si="19"/>
        <v>500</v>
      </c>
      <c r="E198">
        <f t="shared" si="20"/>
        <v>16</v>
      </c>
      <c r="F198" s="1">
        <f>INDEX('App-Click Conversion by Rank'!$K$12:$S$31,MATCH(E198,'App-Click Conversion by Rank'!$J$12:$J$31,0),MATCH(D198,'App-Click Conversion by Rank'!$K$11:$S$11,0))</f>
        <v>2.9247910863509749E-3</v>
      </c>
      <c r="G198" s="3">
        <f t="shared" si="21"/>
        <v>0.20473537604456823</v>
      </c>
      <c r="H198" s="5">
        <f t="shared" si="22"/>
        <v>3.2757660167130918</v>
      </c>
      <c r="I198">
        <f t="shared" si="23"/>
        <v>1120</v>
      </c>
    </row>
    <row r="199" spans="1:9" x14ac:dyDescent="0.45">
      <c r="A199">
        <v>25</v>
      </c>
      <c r="B199">
        <v>500</v>
      </c>
      <c r="C199">
        <v>103</v>
      </c>
      <c r="D199">
        <f t="shared" si="19"/>
        <v>500</v>
      </c>
      <c r="E199" t="str">
        <f t="shared" si="20"/>
        <v>20+</v>
      </c>
      <c r="F199" s="1">
        <f>INDEX('App-Click Conversion by Rank'!$K$12:$S$31,MATCH(E199,'App-Click Conversion by Rank'!$J$12:$J$31,0),MATCH(D199,'App-Click Conversion by Rank'!$K$11:$S$11,0))</f>
        <v>5.1121544079290558E-3</v>
      </c>
      <c r="G199" s="3">
        <f t="shared" si="21"/>
        <v>0.52655190401669272</v>
      </c>
      <c r="H199" s="5">
        <f t="shared" si="22"/>
        <v>13.163797600417318</v>
      </c>
      <c r="I199">
        <f t="shared" si="23"/>
        <v>2575</v>
      </c>
    </row>
    <row r="200" spans="1:9" x14ac:dyDescent="0.45">
      <c r="A200">
        <v>22</v>
      </c>
      <c r="B200">
        <v>500</v>
      </c>
      <c r="C200">
        <v>127</v>
      </c>
      <c r="D200">
        <f t="shared" si="19"/>
        <v>500</v>
      </c>
      <c r="E200" t="str">
        <f t="shared" si="20"/>
        <v>20+</v>
      </c>
      <c r="F200" s="1">
        <f>INDEX('App-Click Conversion by Rank'!$K$12:$S$31,MATCH(E200,'App-Click Conversion by Rank'!$J$12:$J$31,0),MATCH(D200,'App-Click Conversion by Rank'!$K$11:$S$11,0))</f>
        <v>5.1121544079290558E-3</v>
      </c>
      <c r="G200" s="3">
        <f t="shared" si="21"/>
        <v>0.64924360980699014</v>
      </c>
      <c r="H200" s="5">
        <f t="shared" si="22"/>
        <v>14.283359415753782</v>
      </c>
      <c r="I200">
        <f t="shared" si="23"/>
        <v>2794</v>
      </c>
    </row>
    <row r="201" spans="1:9" x14ac:dyDescent="0.45">
      <c r="A201">
        <v>3</v>
      </c>
      <c r="B201">
        <v>550</v>
      </c>
      <c r="C201">
        <v>220</v>
      </c>
      <c r="D201" t="str">
        <f t="shared" si="19"/>
        <v>501+</v>
      </c>
      <c r="E201">
        <f t="shared" si="20"/>
        <v>3</v>
      </c>
      <c r="F201" s="1">
        <f>INDEX('App-Click Conversion by Rank'!$K$12:$S$31,MATCH(E201,'App-Click Conversion by Rank'!$J$12:$J$31,0),MATCH(D201,'App-Click Conversion by Rank'!$K$11:$S$11,0))</f>
        <v>4.4627885979620793E-2</v>
      </c>
      <c r="G201" s="3">
        <f t="shared" si="21"/>
        <v>9.8181349155165751</v>
      </c>
      <c r="H201" s="5">
        <f t="shared" si="22"/>
        <v>29.454404746549727</v>
      </c>
      <c r="I201">
        <f t="shared" si="23"/>
        <v>660</v>
      </c>
    </row>
    <row r="202" spans="1:9" x14ac:dyDescent="0.45">
      <c r="A202">
        <v>34</v>
      </c>
      <c r="B202">
        <v>550</v>
      </c>
      <c r="C202">
        <v>45</v>
      </c>
      <c r="D202" t="str">
        <f t="shared" si="19"/>
        <v>501+</v>
      </c>
      <c r="E202" t="str">
        <f t="shared" si="20"/>
        <v>20+</v>
      </c>
      <c r="F202" s="1">
        <f>INDEX('App-Click Conversion by Rank'!$K$12:$S$31,MATCH(E202,'App-Click Conversion by Rank'!$J$12:$J$31,0),MATCH(D202,'App-Click Conversion by Rank'!$K$11:$S$11,0))</f>
        <v>5.9893958237873931E-3</v>
      </c>
      <c r="G202" s="3">
        <f t="shared" si="21"/>
        <v>0.26952281207043272</v>
      </c>
      <c r="H202" s="5">
        <f t="shared" si="22"/>
        <v>9.1637756103947119</v>
      </c>
      <c r="I202">
        <f t="shared" si="23"/>
        <v>1530</v>
      </c>
    </row>
    <row r="203" spans="1:9" x14ac:dyDescent="0.45">
      <c r="A203">
        <v>31</v>
      </c>
      <c r="B203">
        <v>500</v>
      </c>
      <c r="C203">
        <v>24</v>
      </c>
      <c r="D203">
        <f t="shared" si="19"/>
        <v>500</v>
      </c>
      <c r="E203" t="str">
        <f t="shared" si="20"/>
        <v>20+</v>
      </c>
      <c r="F203" s="1">
        <f>INDEX('App-Click Conversion by Rank'!$K$12:$S$31,MATCH(E203,'App-Click Conversion by Rank'!$J$12:$J$31,0),MATCH(D203,'App-Click Conversion by Rank'!$K$11:$S$11,0))</f>
        <v>5.1121544079290558E-3</v>
      </c>
      <c r="G203" s="3">
        <f t="shared" si="21"/>
        <v>0.12269170579029734</v>
      </c>
      <c r="H203" s="5">
        <f t="shared" si="22"/>
        <v>3.8034428794992174</v>
      </c>
      <c r="I203">
        <f t="shared" si="23"/>
        <v>744</v>
      </c>
    </row>
    <row r="204" spans="1:9" x14ac:dyDescent="0.45">
      <c r="A204">
        <v>15</v>
      </c>
      <c r="B204">
        <v>400</v>
      </c>
      <c r="C204">
        <v>90</v>
      </c>
      <c r="D204">
        <f t="shared" si="19"/>
        <v>400</v>
      </c>
      <c r="E204">
        <f t="shared" si="20"/>
        <v>15</v>
      </c>
      <c r="F204" s="1">
        <f>INDEX('App-Click Conversion by Rank'!$K$12:$S$31,MATCH(E204,'App-Click Conversion by Rank'!$J$12:$J$31,0),MATCH(D204,'App-Click Conversion by Rank'!$K$11:$S$11,0))</f>
        <v>3.6764705882352941E-3</v>
      </c>
      <c r="G204" s="3">
        <f t="shared" si="21"/>
        <v>0.33088235294117646</v>
      </c>
      <c r="H204" s="5">
        <f t="shared" si="22"/>
        <v>4.9632352941176467</v>
      </c>
      <c r="I204">
        <f t="shared" si="23"/>
        <v>1350</v>
      </c>
    </row>
    <row r="205" spans="1:9" x14ac:dyDescent="0.45">
      <c r="A205">
        <v>12</v>
      </c>
      <c r="B205">
        <v>350</v>
      </c>
      <c r="C205">
        <v>49</v>
      </c>
      <c r="D205">
        <f t="shared" si="19"/>
        <v>350</v>
      </c>
      <c r="E205">
        <f t="shared" si="20"/>
        <v>12</v>
      </c>
      <c r="F205" s="1">
        <f>INDEX('App-Click Conversion by Rank'!$K$12:$S$31,MATCH(E205,'App-Click Conversion by Rank'!$J$12:$J$31,0),MATCH(D205,'App-Click Conversion by Rank'!$K$11:$S$11,0))</f>
        <v>7.4384007438400741E-3</v>
      </c>
      <c r="G205" s="3">
        <f t="shared" si="21"/>
        <v>0.36448163644816362</v>
      </c>
      <c r="H205" s="5">
        <f t="shared" si="22"/>
        <v>4.3737796373779636</v>
      </c>
      <c r="I205">
        <f t="shared" si="23"/>
        <v>588</v>
      </c>
    </row>
    <row r="206" spans="1:9" x14ac:dyDescent="0.45">
      <c r="A206">
        <v>32</v>
      </c>
      <c r="B206">
        <v>450</v>
      </c>
      <c r="C206">
        <v>5</v>
      </c>
      <c r="D206">
        <f t="shared" si="19"/>
        <v>450</v>
      </c>
      <c r="E206" t="str">
        <f t="shared" si="20"/>
        <v>20+</v>
      </c>
      <c r="F206" s="1">
        <f>INDEX('App-Click Conversion by Rank'!$K$12:$S$31,MATCH(E206,'App-Click Conversion by Rank'!$J$12:$J$31,0),MATCH(D206,'App-Click Conversion by Rank'!$K$11:$S$11,0))</f>
        <v>5.6022408963585435E-3</v>
      </c>
      <c r="G206" s="3">
        <f t="shared" si="21"/>
        <v>2.8011204481792718E-2</v>
      </c>
      <c r="H206" s="5">
        <f t="shared" si="22"/>
        <v>0.89635854341736698</v>
      </c>
      <c r="I206">
        <f t="shared" si="23"/>
        <v>160</v>
      </c>
    </row>
    <row r="207" spans="1:9" x14ac:dyDescent="0.45">
      <c r="A207">
        <v>4</v>
      </c>
      <c r="B207">
        <v>250</v>
      </c>
      <c r="C207">
        <v>34</v>
      </c>
      <c r="D207">
        <f t="shared" si="19"/>
        <v>250</v>
      </c>
      <c r="E207">
        <f t="shared" si="20"/>
        <v>4</v>
      </c>
      <c r="F207" s="1">
        <f>INDEX('App-Click Conversion by Rank'!$K$12:$S$31,MATCH(E207,'App-Click Conversion by Rank'!$J$12:$J$31,0),MATCH(D207,'App-Click Conversion by Rank'!$K$11:$S$11,0))</f>
        <v>6.9376693766937669E-2</v>
      </c>
      <c r="G207" s="3">
        <f t="shared" si="21"/>
        <v>2.358807588075881</v>
      </c>
      <c r="H207" s="5">
        <f t="shared" si="22"/>
        <v>9.4352303523035239</v>
      </c>
      <c r="I207">
        <f t="shared" si="23"/>
        <v>136</v>
      </c>
    </row>
    <row r="208" spans="1:9" x14ac:dyDescent="0.45">
      <c r="A208">
        <v>12</v>
      </c>
      <c r="B208">
        <v>300</v>
      </c>
      <c r="C208">
        <v>17</v>
      </c>
      <c r="D208">
        <f t="shared" si="19"/>
        <v>300</v>
      </c>
      <c r="E208">
        <f t="shared" si="20"/>
        <v>12</v>
      </c>
      <c r="F208" s="1">
        <f>INDEX('App-Click Conversion by Rank'!$K$12:$S$31,MATCH(E208,'App-Click Conversion by Rank'!$J$12:$J$31,0),MATCH(D208,'App-Click Conversion by Rank'!$K$11:$S$11,0))</f>
        <v>1.4763014763014764E-2</v>
      </c>
      <c r="G208" s="3">
        <f t="shared" si="21"/>
        <v>0.250971250971251</v>
      </c>
      <c r="H208" s="5">
        <f t="shared" si="22"/>
        <v>3.0116550116550123</v>
      </c>
      <c r="I208">
        <f t="shared" si="23"/>
        <v>204</v>
      </c>
    </row>
    <row r="209" spans="1:9" x14ac:dyDescent="0.45">
      <c r="A209">
        <v>1</v>
      </c>
      <c r="B209">
        <v>400</v>
      </c>
      <c r="C209">
        <v>51</v>
      </c>
      <c r="D209">
        <f t="shared" si="19"/>
        <v>400</v>
      </c>
      <c r="E209">
        <f t="shared" si="20"/>
        <v>1</v>
      </c>
      <c r="F209" s="1">
        <f>INDEX('App-Click Conversion by Rank'!$K$12:$S$31,MATCH(E209,'App-Click Conversion by Rank'!$J$12:$J$31,0),MATCH(D209,'App-Click Conversion by Rank'!$K$11:$S$11,0))</f>
        <v>0.18873271367036953</v>
      </c>
      <c r="G209" s="3">
        <f t="shared" si="21"/>
        <v>9.6253683971888471</v>
      </c>
      <c r="H209" s="5">
        <f t="shared" si="22"/>
        <v>9.6253683971888471</v>
      </c>
      <c r="I209">
        <f t="shared" si="23"/>
        <v>51</v>
      </c>
    </row>
    <row r="210" spans="1:9" x14ac:dyDescent="0.45">
      <c r="A210">
        <v>18</v>
      </c>
      <c r="B210">
        <v>600</v>
      </c>
      <c r="C210">
        <v>6</v>
      </c>
      <c r="D210" t="str">
        <f t="shared" si="19"/>
        <v>501+</v>
      </c>
      <c r="E210">
        <f t="shared" si="20"/>
        <v>18</v>
      </c>
      <c r="F210" s="1">
        <f>INDEX('App-Click Conversion by Rank'!$K$12:$S$31,MATCH(E210,'App-Click Conversion by Rank'!$J$12:$J$31,0),MATCH(D210,'App-Click Conversion by Rank'!$K$11:$S$11,0))</f>
        <v>2.0408163265306124E-3</v>
      </c>
      <c r="G210" s="3">
        <f t="shared" si="21"/>
        <v>1.2244897959183675E-2</v>
      </c>
      <c r="H210" s="5">
        <f t="shared" si="22"/>
        <v>0.22040816326530616</v>
      </c>
      <c r="I210">
        <f t="shared" si="23"/>
        <v>108</v>
      </c>
    </row>
    <row r="211" spans="1:9" x14ac:dyDescent="0.45">
      <c r="A211">
        <v>7</v>
      </c>
      <c r="B211">
        <v>250</v>
      </c>
      <c r="C211">
        <v>56</v>
      </c>
      <c r="D211">
        <f t="shared" si="19"/>
        <v>250</v>
      </c>
      <c r="E211">
        <f t="shared" si="20"/>
        <v>7</v>
      </c>
      <c r="F211" s="1">
        <f>INDEX('App-Click Conversion by Rank'!$K$12:$S$31,MATCH(E211,'App-Click Conversion by Rank'!$J$12:$J$31,0),MATCH(D211,'App-Click Conversion by Rank'!$K$11:$S$11,0))</f>
        <v>3.7137069547602972E-2</v>
      </c>
      <c r="G211" s="3">
        <f t="shared" si="21"/>
        <v>2.0796758946657663</v>
      </c>
      <c r="H211" s="5">
        <f t="shared" si="22"/>
        <v>14.557731262660365</v>
      </c>
      <c r="I211">
        <f t="shared" si="23"/>
        <v>392</v>
      </c>
    </row>
    <row r="212" spans="1:9" x14ac:dyDescent="0.45">
      <c r="A212">
        <v>24</v>
      </c>
      <c r="B212">
        <v>450</v>
      </c>
      <c r="C212">
        <v>30</v>
      </c>
      <c r="D212">
        <f t="shared" si="19"/>
        <v>450</v>
      </c>
      <c r="E212" t="str">
        <f t="shared" si="20"/>
        <v>20+</v>
      </c>
      <c r="F212" s="1">
        <f>INDEX('App-Click Conversion by Rank'!$K$12:$S$31,MATCH(E212,'App-Click Conversion by Rank'!$J$12:$J$31,0),MATCH(D212,'App-Click Conversion by Rank'!$K$11:$S$11,0))</f>
        <v>5.6022408963585435E-3</v>
      </c>
      <c r="G212" s="3">
        <f t="shared" si="21"/>
        <v>0.16806722689075632</v>
      </c>
      <c r="H212" s="5">
        <f t="shared" si="22"/>
        <v>4.0336134453781511</v>
      </c>
      <c r="I212">
        <f t="shared" si="23"/>
        <v>720</v>
      </c>
    </row>
    <row r="213" spans="1:9" x14ac:dyDescent="0.45">
      <c r="A213">
        <v>4</v>
      </c>
      <c r="B213">
        <v>200</v>
      </c>
      <c r="C213">
        <v>7</v>
      </c>
      <c r="D213">
        <f t="shared" si="19"/>
        <v>200</v>
      </c>
      <c r="E213">
        <f t="shared" si="20"/>
        <v>4</v>
      </c>
      <c r="F213" s="1">
        <f>INDEX('App-Click Conversion by Rank'!$K$12:$S$31,MATCH(E213,'App-Click Conversion by Rank'!$J$12:$J$31,0),MATCH(D213,'App-Click Conversion by Rank'!$K$11:$S$11,0))</f>
        <v>0.10109289617486339</v>
      </c>
      <c r="G213" s="3">
        <f t="shared" si="21"/>
        <v>0.70765027322404372</v>
      </c>
      <c r="H213" s="5">
        <f t="shared" si="22"/>
        <v>2.8306010928961749</v>
      </c>
      <c r="I213">
        <f t="shared" si="23"/>
        <v>28</v>
      </c>
    </row>
    <row r="214" spans="1:9" x14ac:dyDescent="0.45">
      <c r="A214">
        <v>18</v>
      </c>
      <c r="B214">
        <v>350</v>
      </c>
      <c r="C214">
        <v>10</v>
      </c>
      <c r="D214">
        <f t="shared" si="19"/>
        <v>350</v>
      </c>
      <c r="E214">
        <f t="shared" si="20"/>
        <v>18</v>
      </c>
      <c r="F214" s="1">
        <f>INDEX('App-Click Conversion by Rank'!$K$12:$S$31,MATCH(E214,'App-Click Conversion by Rank'!$J$12:$J$31,0),MATCH(D214,'App-Click Conversion by Rank'!$K$11:$S$11,0))</f>
        <v>2.859866539561487E-3</v>
      </c>
      <c r="G214" s="3">
        <f t="shared" si="21"/>
        <v>2.859866539561487E-2</v>
      </c>
      <c r="H214" s="5">
        <f t="shared" si="22"/>
        <v>0.5147759771210676</v>
      </c>
      <c r="I214">
        <f t="shared" si="23"/>
        <v>180</v>
      </c>
    </row>
    <row r="215" spans="1:9" x14ac:dyDescent="0.45">
      <c r="A215">
        <v>19</v>
      </c>
      <c r="B215">
        <v>300</v>
      </c>
      <c r="C215">
        <v>1</v>
      </c>
      <c r="D215">
        <f t="shared" si="19"/>
        <v>300</v>
      </c>
      <c r="E215">
        <f t="shared" si="20"/>
        <v>19</v>
      </c>
      <c r="F215" s="1">
        <f>INDEX('App-Click Conversion by Rank'!$K$12:$S$31,MATCH(E215,'App-Click Conversion by Rank'!$J$12:$J$31,0),MATCH(D215,'App-Click Conversion by Rank'!$K$11:$S$11,0))</f>
        <v>9.7799511002444987E-3</v>
      </c>
      <c r="G215" s="3">
        <f t="shared" si="21"/>
        <v>9.7799511002444987E-3</v>
      </c>
      <c r="H215" s="5">
        <f t="shared" si="22"/>
        <v>0.18581907090464547</v>
      </c>
      <c r="I215">
        <f t="shared" si="23"/>
        <v>19</v>
      </c>
    </row>
    <row r="216" spans="1:9" x14ac:dyDescent="0.45">
      <c r="A216">
        <v>2</v>
      </c>
      <c r="B216">
        <v>200</v>
      </c>
      <c r="C216">
        <v>7</v>
      </c>
      <c r="D216">
        <f t="shared" si="19"/>
        <v>200</v>
      </c>
      <c r="E216">
        <f t="shared" si="20"/>
        <v>2</v>
      </c>
      <c r="F216" s="1">
        <f>INDEX('App-Click Conversion by Rank'!$K$12:$S$31,MATCH(E216,'App-Click Conversion by Rank'!$J$12:$J$31,0),MATCH(D216,'App-Click Conversion by Rank'!$K$11:$S$11,0))</f>
        <v>0.13572679509632224</v>
      </c>
      <c r="G216" s="3">
        <f t="shared" si="21"/>
        <v>0.95008756567425567</v>
      </c>
      <c r="H216" s="5">
        <f t="shared" si="22"/>
        <v>1.9001751313485113</v>
      </c>
      <c r="I216">
        <f t="shared" si="23"/>
        <v>14</v>
      </c>
    </row>
    <row r="217" spans="1:9" x14ac:dyDescent="0.45">
      <c r="A217">
        <v>2</v>
      </c>
      <c r="B217">
        <v>250</v>
      </c>
      <c r="C217">
        <v>18</v>
      </c>
      <c r="D217">
        <f t="shared" si="19"/>
        <v>250</v>
      </c>
      <c r="E217">
        <f t="shared" si="20"/>
        <v>2</v>
      </c>
      <c r="F217" s="1">
        <f>INDEX('App-Click Conversion by Rank'!$K$12:$S$31,MATCH(E217,'App-Click Conversion by Rank'!$J$12:$J$31,0),MATCH(D217,'App-Click Conversion by Rank'!$K$11:$S$11,0))</f>
        <v>0.1417883861774136</v>
      </c>
      <c r="G217" s="3">
        <f t="shared" si="21"/>
        <v>2.5521909511934449</v>
      </c>
      <c r="H217" s="5">
        <f t="shared" si="22"/>
        <v>5.1043819023868897</v>
      </c>
      <c r="I217">
        <f t="shared" si="23"/>
        <v>36</v>
      </c>
    </row>
    <row r="218" spans="1:9" x14ac:dyDescent="0.45">
      <c r="A218">
        <v>30</v>
      </c>
      <c r="B218">
        <v>400</v>
      </c>
      <c r="C218">
        <v>3</v>
      </c>
      <c r="D218">
        <f t="shared" si="19"/>
        <v>400</v>
      </c>
      <c r="E218" t="str">
        <f t="shared" si="20"/>
        <v>20+</v>
      </c>
      <c r="F218" s="1">
        <f>INDEX('App-Click Conversion by Rank'!$K$12:$S$31,MATCH(E218,'App-Click Conversion by Rank'!$J$12:$J$31,0),MATCH(D218,'App-Click Conversion by Rank'!$K$11:$S$11,0))</f>
        <v>6.4196625091709463E-3</v>
      </c>
      <c r="G218" s="3">
        <f t="shared" si="21"/>
        <v>1.9258987527512837E-2</v>
      </c>
      <c r="H218" s="5">
        <f t="shared" si="22"/>
        <v>0.57776962582538516</v>
      </c>
      <c r="I218">
        <f t="shared" si="23"/>
        <v>90</v>
      </c>
    </row>
    <row r="219" spans="1:9" x14ac:dyDescent="0.45">
      <c r="A219">
        <v>19</v>
      </c>
      <c r="B219">
        <v>350</v>
      </c>
      <c r="C219">
        <v>7</v>
      </c>
      <c r="D219">
        <f t="shared" si="19"/>
        <v>350</v>
      </c>
      <c r="E219">
        <f t="shared" si="20"/>
        <v>19</v>
      </c>
      <c r="F219" s="1">
        <f>INDEX('App-Click Conversion by Rank'!$K$12:$S$31,MATCH(E219,'App-Click Conversion by Rank'!$J$12:$J$31,0),MATCH(D219,'App-Click Conversion by Rank'!$K$11:$S$11,0))</f>
        <v>4.608294930875576E-3</v>
      </c>
      <c r="G219" s="3">
        <f t="shared" si="21"/>
        <v>3.2258064516129031E-2</v>
      </c>
      <c r="H219" s="5">
        <f t="shared" si="22"/>
        <v>0.61290322580645162</v>
      </c>
      <c r="I219">
        <f t="shared" si="23"/>
        <v>133</v>
      </c>
    </row>
    <row r="220" spans="1:9" x14ac:dyDescent="0.45">
      <c r="A220">
        <v>28</v>
      </c>
      <c r="B220">
        <v>400</v>
      </c>
      <c r="C220">
        <v>4</v>
      </c>
      <c r="D220">
        <f t="shared" si="19"/>
        <v>400</v>
      </c>
      <c r="E220" t="str">
        <f t="shared" si="20"/>
        <v>20+</v>
      </c>
      <c r="F220" s="1">
        <f>INDEX('App-Click Conversion by Rank'!$K$12:$S$31,MATCH(E220,'App-Click Conversion by Rank'!$J$12:$J$31,0),MATCH(D220,'App-Click Conversion by Rank'!$K$11:$S$11,0))</f>
        <v>6.4196625091709463E-3</v>
      </c>
      <c r="G220" s="3">
        <f t="shared" si="21"/>
        <v>2.5678650036683785E-2</v>
      </c>
      <c r="H220" s="5">
        <f t="shared" si="22"/>
        <v>0.71900220102714596</v>
      </c>
      <c r="I220">
        <f t="shared" si="23"/>
        <v>112</v>
      </c>
    </row>
    <row r="221" spans="1:9" x14ac:dyDescent="0.45">
      <c r="A221">
        <v>24</v>
      </c>
      <c r="B221">
        <v>350</v>
      </c>
      <c r="C221">
        <v>2</v>
      </c>
      <c r="D221">
        <f t="shared" si="19"/>
        <v>350</v>
      </c>
      <c r="E221" t="str">
        <f t="shared" si="20"/>
        <v>20+</v>
      </c>
      <c r="F221" s="1">
        <f>INDEX('App-Click Conversion by Rank'!$K$12:$S$31,MATCH(E221,'App-Click Conversion by Rank'!$J$12:$J$31,0),MATCH(D221,'App-Click Conversion by Rank'!$K$11:$S$11,0))</f>
        <v>4.1279669762641896E-3</v>
      </c>
      <c r="G221" s="3">
        <f t="shared" si="21"/>
        <v>8.2559339525283791E-3</v>
      </c>
      <c r="H221" s="5">
        <f t="shared" si="22"/>
        <v>0.1981424148606811</v>
      </c>
      <c r="I221">
        <f t="shared" si="23"/>
        <v>48</v>
      </c>
    </row>
    <row r="222" spans="1:9" x14ac:dyDescent="0.45">
      <c r="A222">
        <v>2</v>
      </c>
      <c r="B222">
        <v>50</v>
      </c>
      <c r="C222">
        <v>1</v>
      </c>
      <c r="D222" t="str">
        <f t="shared" si="19"/>
        <v>&lt;=150</v>
      </c>
      <c r="E222">
        <f t="shared" si="20"/>
        <v>2</v>
      </c>
      <c r="F222" s="1">
        <f>INDEX('App-Click Conversion by Rank'!$K$12:$S$31,MATCH(E222,'App-Click Conversion by Rank'!$J$12:$J$31,0),MATCH(D222,'App-Click Conversion by Rank'!$K$11:$S$11,0))</f>
        <v>0.14536340852130325</v>
      </c>
      <c r="G222" s="3">
        <f t="shared" si="21"/>
        <v>0.14536340852130325</v>
      </c>
      <c r="H222" s="5">
        <f t="shared" si="22"/>
        <v>0.2907268170426065</v>
      </c>
      <c r="I222">
        <f t="shared" si="23"/>
        <v>2</v>
      </c>
    </row>
    <row r="223" spans="1:9" x14ac:dyDescent="0.45">
      <c r="A223">
        <v>5</v>
      </c>
      <c r="B223">
        <v>500</v>
      </c>
      <c r="C223">
        <v>250</v>
      </c>
      <c r="D223">
        <f t="shared" si="19"/>
        <v>500</v>
      </c>
      <c r="E223">
        <f t="shared" si="20"/>
        <v>5</v>
      </c>
      <c r="F223" s="1">
        <f>INDEX('App-Click Conversion by Rank'!$K$12:$S$31,MATCH(E223,'App-Click Conversion by Rank'!$J$12:$J$31,0),MATCH(D223,'App-Click Conversion by Rank'!$K$11:$S$11,0))</f>
        <v>2.3398058252427186E-2</v>
      </c>
      <c r="G223" s="3">
        <f t="shared" si="21"/>
        <v>5.8495145631067968</v>
      </c>
      <c r="H223" s="5">
        <f t="shared" si="22"/>
        <v>29.247572815533985</v>
      </c>
      <c r="I223">
        <f t="shared" si="23"/>
        <v>1250</v>
      </c>
    </row>
    <row r="224" spans="1:9" x14ac:dyDescent="0.45">
      <c r="A224">
        <v>27</v>
      </c>
      <c r="B224">
        <v>600</v>
      </c>
      <c r="C224">
        <v>29</v>
      </c>
      <c r="D224" t="str">
        <f t="shared" si="19"/>
        <v>501+</v>
      </c>
      <c r="E224" t="str">
        <f t="shared" si="20"/>
        <v>20+</v>
      </c>
      <c r="F224" s="1">
        <f>INDEX('App-Click Conversion by Rank'!$K$12:$S$31,MATCH(E224,'App-Click Conversion by Rank'!$J$12:$J$31,0),MATCH(D224,'App-Click Conversion by Rank'!$K$11:$S$11,0))</f>
        <v>5.9893958237873931E-3</v>
      </c>
      <c r="G224" s="3">
        <f t="shared" si="21"/>
        <v>0.17369247888983441</v>
      </c>
      <c r="H224" s="5">
        <f t="shared" si="22"/>
        <v>4.6896969300255291</v>
      </c>
      <c r="I224">
        <f t="shared" si="23"/>
        <v>783</v>
      </c>
    </row>
    <row r="225" spans="1:9" x14ac:dyDescent="0.45">
      <c r="A225">
        <v>23</v>
      </c>
      <c r="B225">
        <v>550</v>
      </c>
      <c r="C225">
        <v>101</v>
      </c>
      <c r="D225" t="str">
        <f t="shared" si="19"/>
        <v>501+</v>
      </c>
      <c r="E225" t="str">
        <f t="shared" si="20"/>
        <v>20+</v>
      </c>
      <c r="F225" s="1">
        <f>INDEX('App-Click Conversion by Rank'!$K$12:$S$31,MATCH(E225,'App-Click Conversion by Rank'!$J$12:$J$31,0),MATCH(D225,'App-Click Conversion by Rank'!$K$11:$S$11,0))</f>
        <v>5.9893958237873931E-3</v>
      </c>
      <c r="G225" s="3">
        <f t="shared" si="21"/>
        <v>0.60492897820252667</v>
      </c>
      <c r="H225" s="5">
        <f t="shared" si="22"/>
        <v>13.913366498658114</v>
      </c>
      <c r="I225">
        <f t="shared" si="23"/>
        <v>2323</v>
      </c>
    </row>
    <row r="226" spans="1:9" x14ac:dyDescent="0.45">
      <c r="A226">
        <v>22</v>
      </c>
      <c r="B226">
        <v>550</v>
      </c>
      <c r="C226">
        <v>92</v>
      </c>
      <c r="D226" t="str">
        <f t="shared" si="19"/>
        <v>501+</v>
      </c>
      <c r="E226" t="str">
        <f t="shared" si="20"/>
        <v>20+</v>
      </c>
      <c r="F226" s="1">
        <f>INDEX('App-Click Conversion by Rank'!$K$12:$S$31,MATCH(E226,'App-Click Conversion by Rank'!$J$12:$J$31,0),MATCH(D226,'App-Click Conversion by Rank'!$K$11:$S$11,0))</f>
        <v>5.9893958237873931E-3</v>
      </c>
      <c r="G226" s="3">
        <f t="shared" si="21"/>
        <v>0.55102441578844019</v>
      </c>
      <c r="H226" s="5">
        <f t="shared" si="22"/>
        <v>12.122537147345684</v>
      </c>
      <c r="I226">
        <f t="shared" si="23"/>
        <v>2024</v>
      </c>
    </row>
    <row r="227" spans="1:9" x14ac:dyDescent="0.45">
      <c r="A227">
        <v>25</v>
      </c>
      <c r="B227">
        <v>550</v>
      </c>
      <c r="C227">
        <v>130</v>
      </c>
      <c r="D227" t="str">
        <f t="shared" si="19"/>
        <v>501+</v>
      </c>
      <c r="E227" t="str">
        <f t="shared" si="20"/>
        <v>20+</v>
      </c>
      <c r="F227" s="1">
        <f>INDEX('App-Click Conversion by Rank'!$K$12:$S$31,MATCH(E227,'App-Click Conversion by Rank'!$J$12:$J$31,0),MATCH(D227,'App-Click Conversion by Rank'!$K$11:$S$11,0))</f>
        <v>5.9893958237873931E-3</v>
      </c>
      <c r="G227" s="3">
        <f t="shared" si="21"/>
        <v>0.77862145709236108</v>
      </c>
      <c r="H227" s="5">
        <f t="shared" si="22"/>
        <v>19.465536427309026</v>
      </c>
      <c r="I227">
        <f t="shared" si="23"/>
        <v>3250</v>
      </c>
    </row>
    <row r="228" spans="1:9" x14ac:dyDescent="0.45">
      <c r="A228">
        <v>22</v>
      </c>
      <c r="B228">
        <v>450</v>
      </c>
      <c r="C228">
        <v>63</v>
      </c>
      <c r="D228">
        <f t="shared" si="19"/>
        <v>450</v>
      </c>
      <c r="E228" t="str">
        <f t="shared" si="20"/>
        <v>20+</v>
      </c>
      <c r="F228" s="1">
        <f>INDEX('App-Click Conversion by Rank'!$K$12:$S$31,MATCH(E228,'App-Click Conversion by Rank'!$J$12:$J$31,0),MATCH(D228,'App-Click Conversion by Rank'!$K$11:$S$11,0))</f>
        <v>5.6022408963585435E-3</v>
      </c>
      <c r="G228" s="3">
        <f t="shared" si="21"/>
        <v>0.35294117647058826</v>
      </c>
      <c r="H228" s="5">
        <f t="shared" si="22"/>
        <v>7.764705882352942</v>
      </c>
      <c r="I228">
        <f t="shared" si="23"/>
        <v>1386</v>
      </c>
    </row>
    <row r="229" spans="1:9" x14ac:dyDescent="0.45">
      <c r="A229">
        <v>37</v>
      </c>
      <c r="B229">
        <v>550</v>
      </c>
      <c r="C229">
        <v>33</v>
      </c>
      <c r="D229" t="str">
        <f t="shared" si="19"/>
        <v>501+</v>
      </c>
      <c r="E229" t="str">
        <f t="shared" si="20"/>
        <v>20+</v>
      </c>
      <c r="F229" s="1">
        <f>INDEX('App-Click Conversion by Rank'!$K$12:$S$31,MATCH(E229,'App-Click Conversion by Rank'!$J$12:$J$31,0),MATCH(D229,'App-Click Conversion by Rank'!$K$11:$S$11,0))</f>
        <v>5.9893958237873931E-3</v>
      </c>
      <c r="G229" s="3">
        <f t="shared" si="21"/>
        <v>0.19765006218498396</v>
      </c>
      <c r="H229" s="5">
        <f t="shared" si="22"/>
        <v>7.3130523008444062</v>
      </c>
      <c r="I229">
        <f t="shared" si="23"/>
        <v>1221</v>
      </c>
    </row>
    <row r="230" spans="1:9" x14ac:dyDescent="0.45">
      <c r="A230">
        <v>8</v>
      </c>
      <c r="B230">
        <v>450</v>
      </c>
      <c r="C230">
        <v>369</v>
      </c>
      <c r="D230">
        <f t="shared" si="19"/>
        <v>450</v>
      </c>
      <c r="E230">
        <f t="shared" si="20"/>
        <v>8</v>
      </c>
      <c r="F230" s="1">
        <f>INDEX('App-Click Conversion by Rank'!$K$12:$S$31,MATCH(E230,'App-Click Conversion by Rank'!$J$12:$J$31,0),MATCH(D230,'App-Click Conversion by Rank'!$K$11:$S$11,0))</f>
        <v>9.3508605502100554E-3</v>
      </c>
      <c r="G230" s="3">
        <f t="shared" si="21"/>
        <v>3.4504675430275102</v>
      </c>
      <c r="H230" s="5">
        <f t="shared" si="22"/>
        <v>27.603740344220082</v>
      </c>
      <c r="I230">
        <f t="shared" si="23"/>
        <v>2952</v>
      </c>
    </row>
    <row r="231" spans="1:9" x14ac:dyDescent="0.45">
      <c r="A231">
        <v>20</v>
      </c>
      <c r="B231">
        <v>400</v>
      </c>
      <c r="C231">
        <v>21</v>
      </c>
      <c r="D231">
        <f t="shared" si="19"/>
        <v>400</v>
      </c>
      <c r="E231" t="str">
        <f t="shared" si="20"/>
        <v>20+</v>
      </c>
      <c r="F231" s="1">
        <f>INDEX('App-Click Conversion by Rank'!$K$12:$S$31,MATCH(E231,'App-Click Conversion by Rank'!$J$12:$J$31,0),MATCH(D231,'App-Click Conversion by Rank'!$K$11:$S$11,0))</f>
        <v>6.4196625091709463E-3</v>
      </c>
      <c r="G231" s="3">
        <f t="shared" si="21"/>
        <v>0.13481291269258988</v>
      </c>
      <c r="H231" s="5">
        <f t="shared" si="22"/>
        <v>2.6962582538517976</v>
      </c>
      <c r="I231">
        <f t="shared" si="23"/>
        <v>420</v>
      </c>
    </row>
    <row r="232" spans="1:9" x14ac:dyDescent="0.45">
      <c r="A232">
        <v>6</v>
      </c>
      <c r="B232">
        <v>250</v>
      </c>
      <c r="C232">
        <v>58</v>
      </c>
      <c r="D232">
        <f t="shared" si="19"/>
        <v>250</v>
      </c>
      <c r="E232">
        <f t="shared" si="20"/>
        <v>6</v>
      </c>
      <c r="F232" s="1">
        <f>INDEX('App-Click Conversion by Rank'!$K$12:$S$31,MATCH(E232,'App-Click Conversion by Rank'!$J$12:$J$31,0),MATCH(D232,'App-Click Conversion by Rank'!$K$11:$S$11,0))</f>
        <v>4.0523690773067333E-2</v>
      </c>
      <c r="G232" s="3">
        <f t="shared" si="21"/>
        <v>2.3503740648379052</v>
      </c>
      <c r="H232" s="5">
        <f t="shared" si="22"/>
        <v>14.102244389027431</v>
      </c>
      <c r="I232">
        <f t="shared" si="23"/>
        <v>348</v>
      </c>
    </row>
    <row r="233" spans="1:9" x14ac:dyDescent="0.45">
      <c r="A233">
        <v>1</v>
      </c>
      <c r="B233">
        <v>500</v>
      </c>
      <c r="C233">
        <v>39</v>
      </c>
      <c r="D233">
        <f t="shared" si="19"/>
        <v>500</v>
      </c>
      <c r="E233">
        <f t="shared" si="20"/>
        <v>1</v>
      </c>
      <c r="F233" s="1">
        <f>INDEX('App-Click Conversion by Rank'!$K$12:$S$31,MATCH(E233,'App-Click Conversion by Rank'!$J$12:$J$31,0),MATCH(D233,'App-Click Conversion by Rank'!$K$11:$S$11,0))</f>
        <v>0.14095071958133448</v>
      </c>
      <c r="G233" s="3">
        <f t="shared" si="21"/>
        <v>5.4970780636720447</v>
      </c>
      <c r="H233" s="5">
        <f t="shared" si="22"/>
        <v>5.4970780636720447</v>
      </c>
      <c r="I233">
        <f t="shared" si="23"/>
        <v>39</v>
      </c>
    </row>
    <row r="234" spans="1:9" x14ac:dyDescent="0.45">
      <c r="A234">
        <v>14</v>
      </c>
      <c r="B234">
        <v>350</v>
      </c>
      <c r="C234">
        <v>26</v>
      </c>
      <c r="D234">
        <f t="shared" si="19"/>
        <v>350</v>
      </c>
      <c r="E234">
        <f t="shared" si="20"/>
        <v>14</v>
      </c>
      <c r="F234" s="1">
        <f>INDEX('App-Click Conversion by Rank'!$K$12:$S$31,MATCH(E234,'App-Click Conversion by Rank'!$J$12:$J$31,0),MATCH(D234,'App-Click Conversion by Rank'!$K$11:$S$11,0))</f>
        <v>2.4257125530624622E-3</v>
      </c>
      <c r="G234" s="3">
        <f t="shared" si="21"/>
        <v>6.3068526379624013E-2</v>
      </c>
      <c r="H234" s="5">
        <f t="shared" si="22"/>
        <v>0.88295936931473618</v>
      </c>
      <c r="I234">
        <f t="shared" si="23"/>
        <v>364</v>
      </c>
    </row>
    <row r="235" spans="1:9" x14ac:dyDescent="0.45">
      <c r="A235">
        <v>30</v>
      </c>
      <c r="B235">
        <v>500</v>
      </c>
      <c r="C235">
        <v>38</v>
      </c>
      <c r="D235">
        <f t="shared" si="19"/>
        <v>500</v>
      </c>
      <c r="E235" t="str">
        <f t="shared" si="20"/>
        <v>20+</v>
      </c>
      <c r="F235" s="1">
        <f>INDEX('App-Click Conversion by Rank'!$K$12:$S$31,MATCH(E235,'App-Click Conversion by Rank'!$J$12:$J$31,0),MATCH(D235,'App-Click Conversion by Rank'!$K$11:$S$11,0))</f>
        <v>5.1121544079290558E-3</v>
      </c>
      <c r="G235" s="3">
        <f t="shared" si="21"/>
        <v>0.19426186750130411</v>
      </c>
      <c r="H235" s="5">
        <f t="shared" si="22"/>
        <v>5.8278560250391234</v>
      </c>
      <c r="I235">
        <f t="shared" si="23"/>
        <v>1140</v>
      </c>
    </row>
    <row r="236" spans="1:9" x14ac:dyDescent="0.45">
      <c r="A236">
        <v>31</v>
      </c>
      <c r="B236">
        <v>600</v>
      </c>
      <c r="C236">
        <v>19</v>
      </c>
      <c r="D236" t="str">
        <f t="shared" si="19"/>
        <v>501+</v>
      </c>
      <c r="E236" t="str">
        <f t="shared" si="20"/>
        <v>20+</v>
      </c>
      <c r="F236" s="1">
        <f>INDEX('App-Click Conversion by Rank'!$K$12:$S$31,MATCH(E236,'App-Click Conversion by Rank'!$J$12:$J$31,0),MATCH(D236,'App-Click Conversion by Rank'!$K$11:$S$11,0))</f>
        <v>5.9893958237873931E-3</v>
      </c>
      <c r="G236" s="3">
        <f t="shared" si="21"/>
        <v>0.11379852065196047</v>
      </c>
      <c r="H236" s="5">
        <f t="shared" si="22"/>
        <v>3.5277541402107748</v>
      </c>
      <c r="I236">
        <f t="shared" si="23"/>
        <v>589</v>
      </c>
    </row>
    <row r="237" spans="1:9" x14ac:dyDescent="0.45">
      <c r="A237">
        <v>23</v>
      </c>
      <c r="B237">
        <v>350</v>
      </c>
      <c r="C237">
        <v>5</v>
      </c>
      <c r="D237">
        <f t="shared" si="19"/>
        <v>350</v>
      </c>
      <c r="E237" t="str">
        <f t="shared" si="20"/>
        <v>20+</v>
      </c>
      <c r="F237" s="1">
        <f>INDEX('App-Click Conversion by Rank'!$K$12:$S$31,MATCH(E237,'App-Click Conversion by Rank'!$J$12:$J$31,0),MATCH(D237,'App-Click Conversion by Rank'!$K$11:$S$11,0))</f>
        <v>4.1279669762641896E-3</v>
      </c>
      <c r="G237" s="3">
        <f t="shared" si="21"/>
        <v>2.063983488132095E-2</v>
      </c>
      <c r="H237" s="5">
        <f t="shared" si="22"/>
        <v>0.47471620227038186</v>
      </c>
      <c r="I237">
        <f t="shared" si="23"/>
        <v>115</v>
      </c>
    </row>
    <row r="238" spans="1:9" x14ac:dyDescent="0.45">
      <c r="A238">
        <v>29</v>
      </c>
      <c r="B238">
        <v>500</v>
      </c>
      <c r="C238">
        <v>35</v>
      </c>
      <c r="D238">
        <f t="shared" si="19"/>
        <v>500</v>
      </c>
      <c r="E238" t="str">
        <f t="shared" si="20"/>
        <v>20+</v>
      </c>
      <c r="F238" s="1">
        <f>INDEX('App-Click Conversion by Rank'!$K$12:$S$31,MATCH(E238,'App-Click Conversion by Rank'!$J$12:$J$31,0),MATCH(D238,'App-Click Conversion by Rank'!$K$11:$S$11,0))</f>
        <v>5.1121544079290558E-3</v>
      </c>
      <c r="G238" s="3">
        <f t="shared" si="21"/>
        <v>0.17892540427751696</v>
      </c>
      <c r="H238" s="5">
        <f t="shared" si="22"/>
        <v>5.1888367240479916</v>
      </c>
      <c r="I238">
        <f t="shared" si="23"/>
        <v>1015</v>
      </c>
    </row>
    <row r="239" spans="1:9" x14ac:dyDescent="0.45">
      <c r="A239">
        <v>33</v>
      </c>
      <c r="B239">
        <v>500</v>
      </c>
      <c r="C239">
        <v>21</v>
      </c>
      <c r="D239">
        <f t="shared" ref="D239:D264" si="24">IF(B239&lt;=150,"&lt;=150",IF(B239&gt;500,"501+",B239))</f>
        <v>500</v>
      </c>
      <c r="E239" t="str">
        <f t="shared" ref="E239:E264" si="25">IF(A239&gt;=20,"20+",A239)</f>
        <v>20+</v>
      </c>
      <c r="F239" s="1">
        <f>INDEX('App-Click Conversion by Rank'!$K$12:$S$31,MATCH(E239,'App-Click Conversion by Rank'!$J$12:$J$31,0),MATCH(D239,'App-Click Conversion by Rank'!$K$11:$S$11,0))</f>
        <v>5.1121544079290558E-3</v>
      </c>
      <c r="G239" s="3">
        <f t="shared" ref="G239:G264" si="26">C239*F239</f>
        <v>0.10735524256651018</v>
      </c>
      <c r="H239" s="5">
        <f t="shared" ref="H239:H264" si="27">G239*A239</f>
        <v>3.5427230046948357</v>
      </c>
      <c r="I239">
        <f t="shared" ref="I239:I264" si="28">C239*A239</f>
        <v>693</v>
      </c>
    </row>
    <row r="240" spans="1:9" x14ac:dyDescent="0.45">
      <c r="A240">
        <v>26</v>
      </c>
      <c r="B240">
        <v>350</v>
      </c>
      <c r="C240">
        <v>3</v>
      </c>
      <c r="D240">
        <f t="shared" si="24"/>
        <v>350</v>
      </c>
      <c r="E240" t="str">
        <f t="shared" si="25"/>
        <v>20+</v>
      </c>
      <c r="F240" s="1">
        <f>INDEX('App-Click Conversion by Rank'!$K$12:$S$31,MATCH(E240,'App-Click Conversion by Rank'!$J$12:$J$31,0),MATCH(D240,'App-Click Conversion by Rank'!$K$11:$S$11,0))</f>
        <v>4.1279669762641896E-3</v>
      </c>
      <c r="G240" s="3">
        <f t="shared" si="26"/>
        <v>1.2383900928792569E-2</v>
      </c>
      <c r="H240" s="5">
        <f t="shared" si="27"/>
        <v>0.32198142414860681</v>
      </c>
      <c r="I240">
        <f t="shared" si="28"/>
        <v>78</v>
      </c>
    </row>
    <row r="241" spans="1:9" x14ac:dyDescent="0.45">
      <c r="A241">
        <v>24</v>
      </c>
      <c r="B241">
        <v>600</v>
      </c>
      <c r="C241">
        <v>12</v>
      </c>
      <c r="D241" t="str">
        <f t="shared" si="24"/>
        <v>501+</v>
      </c>
      <c r="E241" t="str">
        <f t="shared" si="25"/>
        <v>20+</v>
      </c>
      <c r="F241" s="1">
        <f>INDEX('App-Click Conversion by Rank'!$K$12:$S$31,MATCH(E241,'App-Click Conversion by Rank'!$J$12:$J$31,0),MATCH(D241,'App-Click Conversion by Rank'!$K$11:$S$11,0))</f>
        <v>5.9893958237873931E-3</v>
      </c>
      <c r="G241" s="3">
        <f t="shared" si="26"/>
        <v>7.1872749885448714E-2</v>
      </c>
      <c r="H241" s="5">
        <f t="shared" si="27"/>
        <v>1.724945997250769</v>
      </c>
      <c r="I241">
        <f t="shared" si="28"/>
        <v>288</v>
      </c>
    </row>
    <row r="242" spans="1:9" x14ac:dyDescent="0.45">
      <c r="A242">
        <v>16</v>
      </c>
      <c r="B242">
        <v>300</v>
      </c>
      <c r="C242">
        <v>1</v>
      </c>
      <c r="D242">
        <f t="shared" si="24"/>
        <v>300</v>
      </c>
      <c r="E242">
        <f t="shared" si="25"/>
        <v>16</v>
      </c>
      <c r="F242" s="1">
        <f>INDEX('App-Click Conversion by Rank'!$K$12:$S$31,MATCH(E242,'App-Click Conversion by Rank'!$J$12:$J$31,0),MATCH(D242,'App-Click Conversion by Rank'!$K$11:$S$11,0))</f>
        <v>1.3412816691505217E-2</v>
      </c>
      <c r="G242" s="3">
        <f t="shared" si="26"/>
        <v>1.3412816691505217E-2</v>
      </c>
      <c r="H242" s="5">
        <f t="shared" si="27"/>
        <v>0.21460506706408347</v>
      </c>
      <c r="I242">
        <f t="shared" si="28"/>
        <v>16</v>
      </c>
    </row>
    <row r="243" spans="1:9" x14ac:dyDescent="0.45">
      <c r="A243">
        <v>9</v>
      </c>
      <c r="B243">
        <v>250</v>
      </c>
      <c r="C243">
        <v>13</v>
      </c>
      <c r="D243">
        <f t="shared" si="24"/>
        <v>250</v>
      </c>
      <c r="E243">
        <f t="shared" si="25"/>
        <v>9</v>
      </c>
      <c r="F243" s="1">
        <f>INDEX('App-Click Conversion by Rank'!$K$12:$S$31,MATCH(E243,'App-Click Conversion by Rank'!$J$12:$J$31,0),MATCH(D243,'App-Click Conversion by Rank'!$K$11:$S$11,0))</f>
        <v>1.7475728155339806E-2</v>
      </c>
      <c r="G243" s="3">
        <f t="shared" si="26"/>
        <v>0.2271844660194175</v>
      </c>
      <c r="H243" s="5">
        <f t="shared" si="27"/>
        <v>2.0446601941747575</v>
      </c>
      <c r="I243">
        <f t="shared" si="28"/>
        <v>117</v>
      </c>
    </row>
    <row r="244" spans="1:9" x14ac:dyDescent="0.45">
      <c r="A244">
        <v>25</v>
      </c>
      <c r="B244">
        <v>650</v>
      </c>
      <c r="C244">
        <v>1</v>
      </c>
      <c r="D244" t="str">
        <f t="shared" si="24"/>
        <v>501+</v>
      </c>
      <c r="E244" t="str">
        <f t="shared" si="25"/>
        <v>20+</v>
      </c>
      <c r="F244" s="1">
        <f>INDEX('App-Click Conversion by Rank'!$K$12:$S$31,MATCH(E244,'App-Click Conversion by Rank'!$J$12:$J$31,0),MATCH(D244,'App-Click Conversion by Rank'!$K$11:$S$11,0))</f>
        <v>5.9893958237873931E-3</v>
      </c>
      <c r="G244" s="3">
        <f t="shared" si="26"/>
        <v>5.9893958237873931E-3</v>
      </c>
      <c r="H244" s="5">
        <f t="shared" si="27"/>
        <v>0.14973489559468484</v>
      </c>
      <c r="I244">
        <f t="shared" si="28"/>
        <v>25</v>
      </c>
    </row>
    <row r="245" spans="1:9" x14ac:dyDescent="0.45">
      <c r="A245">
        <v>14</v>
      </c>
      <c r="B245">
        <v>300</v>
      </c>
      <c r="C245">
        <v>5</v>
      </c>
      <c r="D245">
        <f t="shared" si="24"/>
        <v>300</v>
      </c>
      <c r="E245">
        <f t="shared" si="25"/>
        <v>14</v>
      </c>
      <c r="F245" s="1">
        <f>INDEX('App-Click Conversion by Rank'!$K$12:$S$31,MATCH(E245,'App-Click Conversion by Rank'!$J$12:$J$31,0),MATCH(D245,'App-Click Conversion by Rank'!$K$11:$S$11,0))</f>
        <v>1.1160714285714286E-2</v>
      </c>
      <c r="G245" s="3">
        <f t="shared" si="26"/>
        <v>5.5803571428571432E-2</v>
      </c>
      <c r="H245" s="5">
        <f t="shared" si="27"/>
        <v>0.78125</v>
      </c>
      <c r="I245">
        <f t="shared" si="28"/>
        <v>70</v>
      </c>
    </row>
    <row r="246" spans="1:9" x14ac:dyDescent="0.45">
      <c r="A246">
        <v>3</v>
      </c>
      <c r="B246">
        <v>650</v>
      </c>
      <c r="C246">
        <v>1</v>
      </c>
      <c r="D246" t="str">
        <f t="shared" si="24"/>
        <v>501+</v>
      </c>
      <c r="E246">
        <f t="shared" si="25"/>
        <v>3</v>
      </c>
      <c r="F246" s="1">
        <f>INDEX('App-Click Conversion by Rank'!$K$12:$S$31,MATCH(E246,'App-Click Conversion by Rank'!$J$12:$J$31,0),MATCH(D246,'App-Click Conversion by Rank'!$K$11:$S$11,0))</f>
        <v>4.4627885979620793E-2</v>
      </c>
      <c r="G246" s="3">
        <f t="shared" si="26"/>
        <v>4.4627885979620793E-2</v>
      </c>
      <c r="H246" s="5">
        <f t="shared" si="27"/>
        <v>0.13388365793886237</v>
      </c>
      <c r="I246">
        <f t="shared" si="28"/>
        <v>3</v>
      </c>
    </row>
    <row r="247" spans="1:9" x14ac:dyDescent="0.45">
      <c r="A247">
        <v>36</v>
      </c>
      <c r="B247">
        <v>500</v>
      </c>
      <c r="C247">
        <v>5</v>
      </c>
      <c r="D247">
        <f t="shared" si="24"/>
        <v>500</v>
      </c>
      <c r="E247" t="str">
        <f t="shared" si="25"/>
        <v>20+</v>
      </c>
      <c r="F247" s="1">
        <f>INDEX('App-Click Conversion by Rank'!$K$12:$S$31,MATCH(E247,'App-Click Conversion by Rank'!$J$12:$J$31,0),MATCH(D247,'App-Click Conversion by Rank'!$K$11:$S$11,0))</f>
        <v>5.1121544079290558E-3</v>
      </c>
      <c r="G247" s="3">
        <f t="shared" si="26"/>
        <v>2.5560772039645279E-2</v>
      </c>
      <c r="H247" s="5">
        <f t="shared" si="27"/>
        <v>0.92018779342723001</v>
      </c>
      <c r="I247">
        <f t="shared" si="28"/>
        <v>180</v>
      </c>
    </row>
    <row r="248" spans="1:9" x14ac:dyDescent="0.45">
      <c r="A248">
        <v>14</v>
      </c>
      <c r="B248">
        <v>450</v>
      </c>
      <c r="C248">
        <v>347</v>
      </c>
      <c r="D248">
        <f t="shared" si="24"/>
        <v>450</v>
      </c>
      <c r="E248">
        <f t="shared" si="25"/>
        <v>14</v>
      </c>
      <c r="F248" s="1">
        <f>INDEX('App-Click Conversion by Rank'!$K$12:$S$31,MATCH(E248,'App-Click Conversion by Rank'!$J$12:$J$31,0),MATCH(D248,'App-Click Conversion by Rank'!$K$11:$S$11,0))</f>
        <v>3.8513383400731755E-3</v>
      </c>
      <c r="G248" s="3">
        <f t="shared" si="26"/>
        <v>1.3364144040053918</v>
      </c>
      <c r="H248" s="5">
        <f t="shared" si="27"/>
        <v>18.709801656075484</v>
      </c>
      <c r="I248">
        <f t="shared" si="28"/>
        <v>4858</v>
      </c>
    </row>
    <row r="249" spans="1:9" x14ac:dyDescent="0.45">
      <c r="A249">
        <v>11</v>
      </c>
      <c r="B249">
        <v>450</v>
      </c>
      <c r="C249">
        <v>312</v>
      </c>
      <c r="D249">
        <f t="shared" si="24"/>
        <v>450</v>
      </c>
      <c r="E249">
        <f t="shared" si="25"/>
        <v>11</v>
      </c>
      <c r="F249" s="1">
        <f>INDEX('App-Click Conversion by Rank'!$K$12:$S$31,MATCH(E249,'App-Click Conversion by Rank'!$J$12:$J$31,0),MATCH(D249,'App-Click Conversion by Rank'!$K$11:$S$11,0))</f>
        <v>5.3763440860215058E-3</v>
      </c>
      <c r="G249" s="3">
        <f t="shared" si="26"/>
        <v>1.6774193548387097</v>
      </c>
      <c r="H249" s="5">
        <f t="shared" si="27"/>
        <v>18.451612903225808</v>
      </c>
      <c r="I249">
        <f t="shared" si="28"/>
        <v>3432</v>
      </c>
    </row>
    <row r="250" spans="1:9" x14ac:dyDescent="0.45">
      <c r="A250">
        <v>7</v>
      </c>
      <c r="B250">
        <v>450</v>
      </c>
      <c r="C250">
        <v>382</v>
      </c>
      <c r="D250">
        <f t="shared" si="24"/>
        <v>450</v>
      </c>
      <c r="E250">
        <f t="shared" si="25"/>
        <v>7</v>
      </c>
      <c r="F250" s="1">
        <f>INDEX('App-Click Conversion by Rank'!$K$12:$S$31,MATCH(E250,'App-Click Conversion by Rank'!$J$12:$J$31,0),MATCH(D250,'App-Click Conversion by Rank'!$K$11:$S$11,0))</f>
        <v>1.5087040618955513E-2</v>
      </c>
      <c r="G250" s="3">
        <f t="shared" si="26"/>
        <v>5.7632495164410056</v>
      </c>
      <c r="H250" s="5">
        <f t="shared" si="27"/>
        <v>40.342746615087037</v>
      </c>
      <c r="I250">
        <f t="shared" si="28"/>
        <v>2674</v>
      </c>
    </row>
    <row r="251" spans="1:9" x14ac:dyDescent="0.45">
      <c r="A251">
        <v>14</v>
      </c>
      <c r="B251">
        <v>500</v>
      </c>
      <c r="C251">
        <v>1172</v>
      </c>
      <c r="D251">
        <f t="shared" si="24"/>
        <v>500</v>
      </c>
      <c r="E251">
        <f t="shared" si="25"/>
        <v>14</v>
      </c>
      <c r="F251" s="1">
        <f>INDEX('App-Click Conversion by Rank'!$K$12:$S$31,MATCH(E251,'App-Click Conversion by Rank'!$J$12:$J$31,0),MATCH(D251,'App-Click Conversion by Rank'!$K$11:$S$11,0))</f>
        <v>4.8089420327527945E-3</v>
      </c>
      <c r="G251" s="3">
        <f t="shared" si="26"/>
        <v>5.6360800623862755</v>
      </c>
      <c r="H251" s="5">
        <f t="shared" si="27"/>
        <v>78.905120873407853</v>
      </c>
      <c r="I251">
        <f t="shared" si="28"/>
        <v>16408</v>
      </c>
    </row>
    <row r="252" spans="1:9" x14ac:dyDescent="0.45">
      <c r="A252">
        <v>5</v>
      </c>
      <c r="B252">
        <v>400</v>
      </c>
      <c r="C252">
        <v>206</v>
      </c>
      <c r="D252">
        <f t="shared" si="24"/>
        <v>400</v>
      </c>
      <c r="E252">
        <f t="shared" si="25"/>
        <v>5</v>
      </c>
      <c r="F252" s="1">
        <f>INDEX('App-Click Conversion by Rank'!$K$12:$S$31,MATCH(E252,'App-Click Conversion by Rank'!$J$12:$J$31,0),MATCH(D252,'App-Click Conversion by Rank'!$K$11:$S$11,0))</f>
        <v>2.8956565152271591E-2</v>
      </c>
      <c r="G252" s="3">
        <f t="shared" si="26"/>
        <v>5.9650524213679477</v>
      </c>
      <c r="H252" s="5">
        <f t="shared" si="27"/>
        <v>29.825262106839737</v>
      </c>
      <c r="I252">
        <f t="shared" si="28"/>
        <v>1030</v>
      </c>
    </row>
    <row r="253" spans="1:9" x14ac:dyDescent="0.45">
      <c r="A253">
        <v>31</v>
      </c>
      <c r="B253">
        <v>550</v>
      </c>
      <c r="C253">
        <v>77</v>
      </c>
      <c r="D253" t="str">
        <f t="shared" si="24"/>
        <v>501+</v>
      </c>
      <c r="E253" t="str">
        <f t="shared" si="25"/>
        <v>20+</v>
      </c>
      <c r="F253" s="1">
        <f>INDEX('App-Click Conversion by Rank'!$K$12:$S$31,MATCH(E253,'App-Click Conversion by Rank'!$J$12:$J$31,0),MATCH(D253,'App-Click Conversion by Rank'!$K$11:$S$11,0))</f>
        <v>5.9893958237873931E-3</v>
      </c>
      <c r="G253" s="3">
        <f t="shared" si="26"/>
        <v>0.46118347843162927</v>
      </c>
      <c r="H253" s="5">
        <f t="shared" si="27"/>
        <v>14.296687831380508</v>
      </c>
      <c r="I253">
        <f t="shared" si="28"/>
        <v>2387</v>
      </c>
    </row>
    <row r="254" spans="1:9" x14ac:dyDescent="0.45">
      <c r="A254">
        <v>14</v>
      </c>
      <c r="B254">
        <v>550</v>
      </c>
      <c r="C254">
        <v>456</v>
      </c>
      <c r="D254" t="str">
        <f t="shared" si="24"/>
        <v>501+</v>
      </c>
      <c r="E254">
        <f t="shared" si="25"/>
        <v>14</v>
      </c>
      <c r="F254" s="1">
        <f>INDEX('App-Click Conversion by Rank'!$K$12:$S$31,MATCH(E254,'App-Click Conversion by Rank'!$J$12:$J$31,0),MATCH(D254,'App-Click Conversion by Rank'!$K$11:$S$11,0))</f>
        <v>3.5937500000000002E-3</v>
      </c>
      <c r="G254" s="3">
        <f t="shared" si="26"/>
        <v>1.6387500000000002</v>
      </c>
      <c r="H254" s="5">
        <f t="shared" si="27"/>
        <v>22.942500000000003</v>
      </c>
      <c r="I254">
        <f t="shared" si="28"/>
        <v>6384</v>
      </c>
    </row>
    <row r="255" spans="1:9" x14ac:dyDescent="0.45">
      <c r="A255">
        <v>23</v>
      </c>
      <c r="B255">
        <v>500</v>
      </c>
      <c r="C255">
        <v>122</v>
      </c>
      <c r="D255">
        <f t="shared" si="24"/>
        <v>500</v>
      </c>
      <c r="E255" t="str">
        <f t="shared" si="25"/>
        <v>20+</v>
      </c>
      <c r="F255" s="1">
        <f>INDEX('App-Click Conversion by Rank'!$K$12:$S$31,MATCH(E255,'App-Click Conversion by Rank'!$J$12:$J$31,0),MATCH(D255,'App-Click Conversion by Rank'!$K$11:$S$11,0))</f>
        <v>5.1121544079290558E-3</v>
      </c>
      <c r="G255" s="3">
        <f t="shared" si="26"/>
        <v>0.62368283776734479</v>
      </c>
      <c r="H255" s="5">
        <f t="shared" si="27"/>
        <v>14.34470526864893</v>
      </c>
      <c r="I255">
        <f t="shared" si="28"/>
        <v>2806</v>
      </c>
    </row>
    <row r="256" spans="1:9" x14ac:dyDescent="0.45">
      <c r="A256">
        <v>26</v>
      </c>
      <c r="B256">
        <v>500</v>
      </c>
      <c r="C256">
        <v>64</v>
      </c>
      <c r="D256">
        <f t="shared" si="24"/>
        <v>500</v>
      </c>
      <c r="E256" t="str">
        <f t="shared" si="25"/>
        <v>20+</v>
      </c>
      <c r="F256" s="1">
        <f>INDEX('App-Click Conversion by Rank'!$K$12:$S$31,MATCH(E256,'App-Click Conversion by Rank'!$J$12:$J$31,0),MATCH(D256,'App-Click Conversion by Rank'!$K$11:$S$11,0))</f>
        <v>5.1121544079290558E-3</v>
      </c>
      <c r="G256" s="3">
        <f t="shared" si="26"/>
        <v>0.32717788210745957</v>
      </c>
      <c r="H256" s="5">
        <f t="shared" si="27"/>
        <v>8.5066249347939493</v>
      </c>
      <c r="I256">
        <f t="shared" si="28"/>
        <v>1664</v>
      </c>
    </row>
    <row r="257" spans="1:9" x14ac:dyDescent="0.45">
      <c r="A257">
        <v>11</v>
      </c>
      <c r="B257">
        <v>300</v>
      </c>
      <c r="C257">
        <v>34</v>
      </c>
      <c r="D257">
        <f t="shared" si="24"/>
        <v>300</v>
      </c>
      <c r="E257">
        <f t="shared" si="25"/>
        <v>11</v>
      </c>
      <c r="F257" s="1">
        <f>INDEX('App-Click Conversion by Rank'!$K$12:$S$31,MATCH(E257,'App-Click Conversion by Rank'!$J$12:$J$31,0),MATCH(D257,'App-Click Conversion by Rank'!$K$11:$S$11,0))</f>
        <v>1.0526315789473684E-2</v>
      </c>
      <c r="G257" s="3">
        <f t="shared" si="26"/>
        <v>0.35789473684210527</v>
      </c>
      <c r="H257" s="5">
        <f t="shared" si="27"/>
        <v>3.9368421052631577</v>
      </c>
      <c r="I257">
        <f t="shared" si="28"/>
        <v>374</v>
      </c>
    </row>
    <row r="258" spans="1:9" x14ac:dyDescent="0.45">
      <c r="A258">
        <v>26</v>
      </c>
      <c r="B258">
        <v>550</v>
      </c>
      <c r="C258">
        <v>116</v>
      </c>
      <c r="D258" t="str">
        <f t="shared" si="24"/>
        <v>501+</v>
      </c>
      <c r="E258" t="str">
        <f t="shared" si="25"/>
        <v>20+</v>
      </c>
      <c r="F258" s="1">
        <f>INDEX('App-Click Conversion by Rank'!$K$12:$S$31,MATCH(E258,'App-Click Conversion by Rank'!$J$12:$J$31,0),MATCH(D258,'App-Click Conversion by Rank'!$K$11:$S$11,0))</f>
        <v>5.9893958237873931E-3</v>
      </c>
      <c r="G258" s="3">
        <f t="shared" si="26"/>
        <v>0.69476991555933765</v>
      </c>
      <c r="H258" s="5">
        <f t="shared" si="27"/>
        <v>18.064017804542779</v>
      </c>
      <c r="I258">
        <f t="shared" si="28"/>
        <v>3016</v>
      </c>
    </row>
    <row r="259" spans="1:9" x14ac:dyDescent="0.45">
      <c r="A259">
        <v>24</v>
      </c>
      <c r="B259">
        <v>550</v>
      </c>
      <c r="C259">
        <v>135</v>
      </c>
      <c r="D259" t="str">
        <f t="shared" si="24"/>
        <v>501+</v>
      </c>
      <c r="E259" t="str">
        <f t="shared" si="25"/>
        <v>20+</v>
      </c>
      <c r="F259" s="1">
        <f>INDEX('App-Click Conversion by Rank'!$K$12:$S$31,MATCH(E259,'App-Click Conversion by Rank'!$J$12:$J$31,0),MATCH(D259,'App-Click Conversion by Rank'!$K$11:$S$11,0))</f>
        <v>5.9893958237873931E-3</v>
      </c>
      <c r="G259" s="3">
        <f t="shared" si="26"/>
        <v>0.80856843621129804</v>
      </c>
      <c r="H259" s="5">
        <f t="shared" si="27"/>
        <v>19.405642469071154</v>
      </c>
      <c r="I259">
        <f t="shared" si="28"/>
        <v>3240</v>
      </c>
    </row>
    <row r="260" spans="1:9" x14ac:dyDescent="0.45">
      <c r="A260">
        <v>23</v>
      </c>
      <c r="B260">
        <v>450</v>
      </c>
      <c r="C260">
        <v>37</v>
      </c>
      <c r="D260">
        <f t="shared" si="24"/>
        <v>450</v>
      </c>
      <c r="E260" t="str">
        <f t="shared" si="25"/>
        <v>20+</v>
      </c>
      <c r="F260" s="1">
        <f>INDEX('App-Click Conversion by Rank'!$K$12:$S$31,MATCH(E260,'App-Click Conversion by Rank'!$J$12:$J$31,0),MATCH(D260,'App-Click Conversion by Rank'!$K$11:$S$11,0))</f>
        <v>5.6022408963585435E-3</v>
      </c>
      <c r="G260" s="3">
        <f t="shared" si="26"/>
        <v>0.20728291316526612</v>
      </c>
      <c r="H260" s="5">
        <f t="shared" si="27"/>
        <v>4.7675070028011204</v>
      </c>
      <c r="I260">
        <f t="shared" si="28"/>
        <v>851</v>
      </c>
    </row>
    <row r="261" spans="1:9" x14ac:dyDescent="0.45">
      <c r="A261">
        <v>8</v>
      </c>
      <c r="B261">
        <v>350</v>
      </c>
      <c r="C261">
        <v>157</v>
      </c>
      <c r="D261">
        <f t="shared" si="24"/>
        <v>350</v>
      </c>
      <c r="E261">
        <f t="shared" si="25"/>
        <v>8</v>
      </c>
      <c r="F261" s="1">
        <f>INDEX('App-Click Conversion by Rank'!$K$12:$S$31,MATCH(E261,'App-Click Conversion by Rank'!$J$12:$J$31,0),MATCH(D261,'App-Click Conversion by Rank'!$K$11:$S$11,0))</f>
        <v>1.5720524017467249E-2</v>
      </c>
      <c r="G261" s="3">
        <f t="shared" si="26"/>
        <v>2.468122270742358</v>
      </c>
      <c r="H261" s="5">
        <f t="shared" si="27"/>
        <v>19.744978165938864</v>
      </c>
      <c r="I261">
        <f t="shared" si="28"/>
        <v>1256</v>
      </c>
    </row>
    <row r="262" spans="1:9" x14ac:dyDescent="0.45">
      <c r="A262">
        <v>13</v>
      </c>
      <c r="B262">
        <v>600</v>
      </c>
      <c r="C262">
        <v>59</v>
      </c>
      <c r="D262" t="str">
        <f t="shared" si="24"/>
        <v>501+</v>
      </c>
      <c r="E262">
        <f t="shared" si="25"/>
        <v>13</v>
      </c>
      <c r="F262" s="1">
        <f>INDEX('App-Click Conversion by Rank'!$K$12:$S$31,MATCH(E262,'App-Click Conversion by Rank'!$J$12:$J$31,0),MATCH(D262,'App-Click Conversion by Rank'!$K$11:$S$11,0))</f>
        <v>3.8179596823457542E-3</v>
      </c>
      <c r="G262" s="3">
        <f t="shared" si="26"/>
        <v>0.22525962125839949</v>
      </c>
      <c r="H262" s="5">
        <f t="shared" si="27"/>
        <v>2.9283750763591936</v>
      </c>
      <c r="I262">
        <f t="shared" si="28"/>
        <v>767</v>
      </c>
    </row>
    <row r="263" spans="1:9" x14ac:dyDescent="0.45">
      <c r="A263">
        <v>25</v>
      </c>
      <c r="B263">
        <v>450</v>
      </c>
      <c r="C263">
        <v>43</v>
      </c>
      <c r="D263">
        <f t="shared" si="24"/>
        <v>450</v>
      </c>
      <c r="E263" t="str">
        <f t="shared" si="25"/>
        <v>20+</v>
      </c>
      <c r="F263" s="1">
        <f>INDEX('App-Click Conversion by Rank'!$K$12:$S$31,MATCH(E263,'App-Click Conversion by Rank'!$J$12:$J$31,0),MATCH(D263,'App-Click Conversion by Rank'!$K$11:$S$11,0))</f>
        <v>5.6022408963585435E-3</v>
      </c>
      <c r="G263" s="3">
        <f t="shared" si="26"/>
        <v>0.24089635854341737</v>
      </c>
      <c r="H263" s="5">
        <f t="shared" si="27"/>
        <v>6.0224089635854341</v>
      </c>
      <c r="I263">
        <f t="shared" si="28"/>
        <v>1075</v>
      </c>
    </row>
    <row r="264" spans="1:9" x14ac:dyDescent="0.45">
      <c r="A264">
        <v>12</v>
      </c>
      <c r="B264">
        <v>600</v>
      </c>
      <c r="C264">
        <v>20</v>
      </c>
      <c r="D264" t="str">
        <f t="shared" si="24"/>
        <v>501+</v>
      </c>
      <c r="E264">
        <f t="shared" si="25"/>
        <v>12</v>
      </c>
      <c r="F264" s="1">
        <f>INDEX('App-Click Conversion by Rank'!$K$12:$S$31,MATCH(E264,'App-Click Conversion by Rank'!$J$12:$J$31,0),MATCH(D264,'App-Click Conversion by Rank'!$K$11:$S$11,0))</f>
        <v>4.3071439180157435E-3</v>
      </c>
      <c r="G264" s="3">
        <f t="shared" si="26"/>
        <v>8.6142878360314867E-2</v>
      </c>
      <c r="H264" s="5">
        <f t="shared" si="27"/>
        <v>1.0337145403237784</v>
      </c>
      <c r="I264">
        <f t="shared" si="28"/>
        <v>240</v>
      </c>
    </row>
    <row r="265" spans="1:9" x14ac:dyDescent="0.45">
      <c r="A265">
        <v>22</v>
      </c>
      <c r="B265">
        <v>350</v>
      </c>
      <c r="C265">
        <v>6</v>
      </c>
      <c r="D265">
        <f t="shared" ref="D265:D274" si="29">IF(B265&lt;=150,"&lt;=150",IF(B265&gt;500,"501+",B265))</f>
        <v>350</v>
      </c>
      <c r="E265" t="str">
        <f t="shared" ref="E265:E274" si="30">IF(A265&gt;=20,"20+",A265)</f>
        <v>20+</v>
      </c>
      <c r="F265" s="1">
        <f>INDEX('App-Click Conversion by Rank'!$K$12:$S$31,MATCH(E265,'App-Click Conversion by Rank'!$J$12:$J$31,0),MATCH(D265,'App-Click Conversion by Rank'!$K$11:$S$11,0))</f>
        <v>4.1279669762641896E-3</v>
      </c>
      <c r="G265" s="3">
        <f t="shared" ref="G265:G274" si="31">C265*F265</f>
        <v>2.4767801857585137E-2</v>
      </c>
      <c r="H265" s="5">
        <f t="shared" ref="H265:H274" si="32">G265*A265</f>
        <v>0.54489164086687303</v>
      </c>
      <c r="I265">
        <f t="shared" ref="I265:I274" si="33">C265*A265</f>
        <v>132</v>
      </c>
    </row>
    <row r="266" spans="1:9" x14ac:dyDescent="0.45">
      <c r="A266">
        <v>32</v>
      </c>
      <c r="B266">
        <v>600</v>
      </c>
      <c r="C266">
        <v>11</v>
      </c>
      <c r="D266" t="str">
        <f t="shared" si="29"/>
        <v>501+</v>
      </c>
      <c r="E266" t="str">
        <f t="shared" si="30"/>
        <v>20+</v>
      </c>
      <c r="F266" s="1">
        <f>INDEX('App-Click Conversion by Rank'!$K$12:$S$31,MATCH(E266,'App-Click Conversion by Rank'!$J$12:$J$31,0),MATCH(D266,'App-Click Conversion by Rank'!$K$11:$S$11,0))</f>
        <v>5.9893958237873931E-3</v>
      </c>
      <c r="G266" s="3">
        <f t="shared" si="31"/>
        <v>6.588335406166132E-2</v>
      </c>
      <c r="H266" s="5">
        <f t="shared" si="32"/>
        <v>2.1082673299731622</v>
      </c>
      <c r="I266">
        <f t="shared" si="33"/>
        <v>352</v>
      </c>
    </row>
    <row r="267" spans="1:9" x14ac:dyDescent="0.45">
      <c r="A267">
        <v>26</v>
      </c>
      <c r="B267">
        <v>450</v>
      </c>
      <c r="C267">
        <v>17</v>
      </c>
      <c r="D267">
        <f t="shared" si="29"/>
        <v>450</v>
      </c>
      <c r="E267" t="str">
        <f t="shared" si="30"/>
        <v>20+</v>
      </c>
      <c r="F267" s="1">
        <f>INDEX('App-Click Conversion by Rank'!$K$12:$S$31,MATCH(E267,'App-Click Conversion by Rank'!$J$12:$J$31,0),MATCH(D267,'App-Click Conversion by Rank'!$K$11:$S$11,0))</f>
        <v>5.6022408963585435E-3</v>
      </c>
      <c r="G267" s="3">
        <f t="shared" si="31"/>
        <v>9.5238095238095233E-2</v>
      </c>
      <c r="H267" s="5">
        <f t="shared" si="32"/>
        <v>2.4761904761904763</v>
      </c>
      <c r="I267">
        <f t="shared" si="33"/>
        <v>442</v>
      </c>
    </row>
    <row r="268" spans="1:9" x14ac:dyDescent="0.45">
      <c r="A268">
        <v>18</v>
      </c>
      <c r="B268">
        <v>650</v>
      </c>
      <c r="C268">
        <v>3</v>
      </c>
      <c r="D268" t="str">
        <f t="shared" si="29"/>
        <v>501+</v>
      </c>
      <c r="E268">
        <f t="shared" si="30"/>
        <v>18</v>
      </c>
      <c r="F268" s="1">
        <f>INDEX('App-Click Conversion by Rank'!$K$12:$S$31,MATCH(E268,'App-Click Conversion by Rank'!$J$12:$J$31,0),MATCH(D268,'App-Click Conversion by Rank'!$K$11:$S$11,0))</f>
        <v>2.0408163265306124E-3</v>
      </c>
      <c r="G268" s="3">
        <f t="shared" si="31"/>
        <v>6.1224489795918373E-3</v>
      </c>
      <c r="H268" s="5">
        <f t="shared" si="32"/>
        <v>0.11020408163265308</v>
      </c>
      <c r="I268">
        <f t="shared" si="33"/>
        <v>54</v>
      </c>
    </row>
    <row r="269" spans="1:9" x14ac:dyDescent="0.45">
      <c r="A269">
        <v>12</v>
      </c>
      <c r="B269">
        <v>650</v>
      </c>
      <c r="C269">
        <v>5</v>
      </c>
      <c r="D269" t="str">
        <f t="shared" si="29"/>
        <v>501+</v>
      </c>
      <c r="E269">
        <f t="shared" si="30"/>
        <v>12</v>
      </c>
      <c r="F269" s="1">
        <f>INDEX('App-Click Conversion by Rank'!$K$12:$S$31,MATCH(E269,'App-Click Conversion by Rank'!$J$12:$J$31,0),MATCH(D269,'App-Click Conversion by Rank'!$K$11:$S$11,0))</f>
        <v>4.3071439180157435E-3</v>
      </c>
      <c r="G269" s="3">
        <f t="shared" si="31"/>
        <v>2.1535719590078717E-2</v>
      </c>
      <c r="H269" s="5">
        <f t="shared" si="32"/>
        <v>0.2584286350809446</v>
      </c>
      <c r="I269">
        <f t="shared" si="33"/>
        <v>60</v>
      </c>
    </row>
    <row r="270" spans="1:9" x14ac:dyDescent="0.45">
      <c r="A270">
        <v>31</v>
      </c>
      <c r="B270">
        <v>450</v>
      </c>
      <c r="C270">
        <v>6</v>
      </c>
      <c r="D270">
        <f t="shared" si="29"/>
        <v>450</v>
      </c>
      <c r="E270" t="str">
        <f t="shared" si="30"/>
        <v>20+</v>
      </c>
      <c r="F270" s="1">
        <f>INDEX('App-Click Conversion by Rank'!$K$12:$S$31,MATCH(E270,'App-Click Conversion by Rank'!$J$12:$J$31,0),MATCH(D270,'App-Click Conversion by Rank'!$K$11:$S$11,0))</f>
        <v>5.6022408963585435E-3</v>
      </c>
      <c r="G270" s="3">
        <f t="shared" si="31"/>
        <v>3.3613445378151259E-2</v>
      </c>
      <c r="H270" s="5">
        <f t="shared" si="32"/>
        <v>1.0420168067226889</v>
      </c>
      <c r="I270">
        <f t="shared" si="33"/>
        <v>186</v>
      </c>
    </row>
    <row r="271" spans="1:9" x14ac:dyDescent="0.45">
      <c r="A271">
        <v>16</v>
      </c>
      <c r="B271">
        <v>350</v>
      </c>
      <c r="C271">
        <v>3</v>
      </c>
      <c r="D271">
        <f t="shared" si="29"/>
        <v>350</v>
      </c>
      <c r="E271">
        <f t="shared" si="30"/>
        <v>16</v>
      </c>
      <c r="F271" s="1">
        <f>INDEX('App-Click Conversion by Rank'!$K$12:$S$31,MATCH(E271,'App-Click Conversion by Rank'!$J$12:$J$31,0),MATCH(D271,'App-Click Conversion by Rank'!$K$11:$S$11,0))</f>
        <v>2.2658610271903325E-3</v>
      </c>
      <c r="G271" s="3">
        <f t="shared" si="31"/>
        <v>6.7975830815709976E-3</v>
      </c>
      <c r="H271" s="5">
        <f t="shared" si="32"/>
        <v>0.10876132930513596</v>
      </c>
      <c r="I271">
        <f t="shared" si="33"/>
        <v>48</v>
      </c>
    </row>
    <row r="272" spans="1:9" x14ac:dyDescent="0.45">
      <c r="A272">
        <v>24</v>
      </c>
      <c r="B272">
        <v>650</v>
      </c>
      <c r="C272">
        <v>2</v>
      </c>
      <c r="D272" t="str">
        <f t="shared" si="29"/>
        <v>501+</v>
      </c>
      <c r="E272" t="str">
        <f t="shared" si="30"/>
        <v>20+</v>
      </c>
      <c r="F272" s="1">
        <f>INDEX('App-Click Conversion by Rank'!$K$12:$S$31,MATCH(E272,'App-Click Conversion by Rank'!$J$12:$J$31,0),MATCH(D272,'App-Click Conversion by Rank'!$K$11:$S$11,0))</f>
        <v>5.9893958237873931E-3</v>
      </c>
      <c r="G272" s="3">
        <f t="shared" si="31"/>
        <v>1.1978791647574786E-2</v>
      </c>
      <c r="H272" s="5">
        <f t="shared" si="32"/>
        <v>0.28749099954179486</v>
      </c>
      <c r="I272">
        <f t="shared" si="33"/>
        <v>48</v>
      </c>
    </row>
    <row r="273" spans="1:9" x14ac:dyDescent="0.45">
      <c r="A273">
        <v>19</v>
      </c>
      <c r="B273">
        <v>650</v>
      </c>
      <c r="C273">
        <v>1</v>
      </c>
      <c r="D273" t="str">
        <f t="shared" si="29"/>
        <v>501+</v>
      </c>
      <c r="E273">
        <f t="shared" si="30"/>
        <v>19</v>
      </c>
      <c r="F273" s="1">
        <f>INDEX('App-Click Conversion by Rank'!$K$12:$S$31,MATCH(E273,'App-Click Conversion by Rank'!$J$12:$J$31,0),MATCH(D273,'App-Click Conversion by Rank'!$K$11:$S$11,0))</f>
        <v>2.8030833917309038E-3</v>
      </c>
      <c r="G273" s="3">
        <f t="shared" si="31"/>
        <v>2.8030833917309038E-3</v>
      </c>
      <c r="H273" s="5">
        <f t="shared" si="32"/>
        <v>5.3258584442887176E-2</v>
      </c>
      <c r="I273">
        <f t="shared" si="33"/>
        <v>19</v>
      </c>
    </row>
    <row r="274" spans="1:9" x14ac:dyDescent="0.45">
      <c r="A274">
        <v>37</v>
      </c>
      <c r="B274">
        <v>500</v>
      </c>
      <c r="C274">
        <v>4</v>
      </c>
      <c r="D274">
        <f t="shared" si="29"/>
        <v>500</v>
      </c>
      <c r="E274" t="str">
        <f t="shared" si="30"/>
        <v>20+</v>
      </c>
      <c r="F274" s="1">
        <f>INDEX('App-Click Conversion by Rank'!$K$12:$S$31,MATCH(E274,'App-Click Conversion by Rank'!$J$12:$J$31,0),MATCH(D274,'App-Click Conversion by Rank'!$K$11:$S$11,0))</f>
        <v>5.1121544079290558E-3</v>
      </c>
      <c r="G274" s="3">
        <f t="shared" si="31"/>
        <v>2.0448617631716223E-2</v>
      </c>
      <c r="H274" s="5">
        <f t="shared" si="32"/>
        <v>0.75659885237350022</v>
      </c>
      <c r="I274">
        <f t="shared" si="33"/>
        <v>148</v>
      </c>
    </row>
    <row r="275" spans="1:9" x14ac:dyDescent="0.45">
      <c r="A275">
        <v>37</v>
      </c>
      <c r="B275">
        <v>350</v>
      </c>
      <c r="C275">
        <v>1</v>
      </c>
      <c r="D275">
        <f t="shared" ref="D275:D282" si="34">IF(B275&lt;=150,"&lt;=150",IF(B275&gt;500,"501+",B275))</f>
        <v>350</v>
      </c>
      <c r="E275" t="str">
        <f t="shared" ref="E275:E282" si="35">IF(A275&gt;=20,"20+",A275)</f>
        <v>20+</v>
      </c>
      <c r="F275" s="1">
        <f>INDEX('App-Click Conversion by Rank'!$K$12:$S$31,MATCH(E275,'App-Click Conversion by Rank'!$J$12:$J$31,0),MATCH(D275,'App-Click Conversion by Rank'!$K$11:$S$11,0))</f>
        <v>4.1279669762641896E-3</v>
      </c>
      <c r="G275" s="3">
        <f t="shared" ref="G275:G282" si="36">C275*F275</f>
        <v>4.1279669762641896E-3</v>
      </c>
      <c r="H275" s="5">
        <f t="shared" ref="H275:H282" si="37">G275*A275</f>
        <v>0.15273477812177502</v>
      </c>
      <c r="I275">
        <f t="shared" ref="I275:I282" si="38">C275*A275</f>
        <v>37</v>
      </c>
    </row>
    <row r="276" spans="1:9" x14ac:dyDescent="0.45">
      <c r="A276">
        <v>7</v>
      </c>
      <c r="B276">
        <v>500</v>
      </c>
      <c r="C276">
        <v>367</v>
      </c>
      <c r="D276">
        <f t="shared" si="34"/>
        <v>500</v>
      </c>
      <c r="E276">
        <f t="shared" si="35"/>
        <v>7</v>
      </c>
      <c r="F276" s="1">
        <f>INDEX('App-Click Conversion by Rank'!$K$12:$S$31,MATCH(E276,'App-Click Conversion by Rank'!$J$12:$J$31,0),MATCH(D276,'App-Click Conversion by Rank'!$K$11:$S$11,0))</f>
        <v>1.6261794820317206E-2</v>
      </c>
      <c r="G276" s="3">
        <f t="shared" si="36"/>
        <v>5.9680786990564147</v>
      </c>
      <c r="H276" s="5">
        <f t="shared" si="37"/>
        <v>41.776550893394905</v>
      </c>
      <c r="I276">
        <f t="shared" si="38"/>
        <v>2569</v>
      </c>
    </row>
    <row r="277" spans="1:9" x14ac:dyDescent="0.45">
      <c r="A277">
        <v>28</v>
      </c>
      <c r="B277">
        <v>450</v>
      </c>
      <c r="C277">
        <v>10</v>
      </c>
      <c r="D277">
        <f t="shared" si="34"/>
        <v>450</v>
      </c>
      <c r="E277" t="str">
        <f t="shared" si="35"/>
        <v>20+</v>
      </c>
      <c r="F277" s="1">
        <f>INDEX('App-Click Conversion by Rank'!$K$12:$S$31,MATCH(E277,'App-Click Conversion by Rank'!$J$12:$J$31,0),MATCH(D277,'App-Click Conversion by Rank'!$K$11:$S$11,0))</f>
        <v>5.6022408963585435E-3</v>
      </c>
      <c r="G277" s="3">
        <f t="shared" si="36"/>
        <v>5.6022408963585436E-2</v>
      </c>
      <c r="H277" s="5">
        <f t="shared" si="37"/>
        <v>1.5686274509803921</v>
      </c>
      <c r="I277">
        <f t="shared" si="38"/>
        <v>280</v>
      </c>
    </row>
    <row r="278" spans="1:9" x14ac:dyDescent="0.45">
      <c r="A278">
        <v>11</v>
      </c>
      <c r="B278">
        <v>500</v>
      </c>
      <c r="C278">
        <v>815</v>
      </c>
      <c r="D278">
        <f t="shared" si="34"/>
        <v>500</v>
      </c>
      <c r="E278">
        <f t="shared" si="35"/>
        <v>11</v>
      </c>
      <c r="F278" s="1">
        <f>INDEX('App-Click Conversion by Rank'!$K$12:$S$31,MATCH(E278,'App-Click Conversion by Rank'!$J$12:$J$31,0),MATCH(D278,'App-Click Conversion by Rank'!$K$11:$S$11,0))</f>
        <v>7.8869923484402582E-3</v>
      </c>
      <c r="G278" s="3">
        <f t="shared" si="36"/>
        <v>6.4278987639788108</v>
      </c>
      <c r="H278" s="5">
        <f t="shared" si="37"/>
        <v>70.706886403766916</v>
      </c>
      <c r="I278">
        <f t="shared" si="38"/>
        <v>8965</v>
      </c>
    </row>
    <row r="279" spans="1:9" x14ac:dyDescent="0.45">
      <c r="A279">
        <v>9</v>
      </c>
      <c r="B279">
        <v>500</v>
      </c>
      <c r="C279">
        <v>858</v>
      </c>
      <c r="D279">
        <f t="shared" si="34"/>
        <v>500</v>
      </c>
      <c r="E279">
        <f t="shared" si="35"/>
        <v>9</v>
      </c>
      <c r="F279" s="1">
        <f>INDEX('App-Click Conversion by Rank'!$K$12:$S$31,MATCH(E279,'App-Click Conversion by Rank'!$J$12:$J$31,0),MATCH(D279,'App-Click Conversion by Rank'!$K$11:$S$11,0))</f>
        <v>6.8679821214433666E-3</v>
      </c>
      <c r="G279" s="3">
        <f t="shared" si="36"/>
        <v>5.8927286601984088</v>
      </c>
      <c r="H279" s="5">
        <f t="shared" si="37"/>
        <v>53.034557941785678</v>
      </c>
      <c r="I279">
        <f t="shared" si="38"/>
        <v>7722</v>
      </c>
    </row>
    <row r="280" spans="1:9" x14ac:dyDescent="0.45">
      <c r="A280">
        <v>11</v>
      </c>
      <c r="B280">
        <v>550</v>
      </c>
      <c r="C280">
        <v>320</v>
      </c>
      <c r="D280" t="str">
        <f t="shared" si="34"/>
        <v>501+</v>
      </c>
      <c r="E280">
        <f t="shared" si="35"/>
        <v>11</v>
      </c>
      <c r="F280" s="1">
        <f>INDEX('App-Click Conversion by Rank'!$K$12:$S$31,MATCH(E280,'App-Click Conversion by Rank'!$J$12:$J$31,0),MATCH(D280,'App-Click Conversion by Rank'!$K$11:$S$11,0))</f>
        <v>7.0175438596491229E-3</v>
      </c>
      <c r="G280" s="3">
        <f t="shared" si="36"/>
        <v>2.2456140350877192</v>
      </c>
      <c r="H280" s="5">
        <f t="shared" si="37"/>
        <v>24.701754385964911</v>
      </c>
      <c r="I280">
        <f t="shared" si="38"/>
        <v>3520</v>
      </c>
    </row>
    <row r="281" spans="1:9" x14ac:dyDescent="0.45">
      <c r="A281">
        <v>6</v>
      </c>
      <c r="B281">
        <v>500</v>
      </c>
      <c r="C281">
        <v>373</v>
      </c>
      <c r="D281">
        <f t="shared" si="34"/>
        <v>500</v>
      </c>
      <c r="E281">
        <f t="shared" si="35"/>
        <v>6</v>
      </c>
      <c r="F281" s="1">
        <f>INDEX('App-Click Conversion by Rank'!$K$12:$S$31,MATCH(E281,'App-Click Conversion by Rank'!$J$12:$J$31,0),MATCH(D281,'App-Click Conversion by Rank'!$K$11:$S$11,0))</f>
        <v>2.218905472636816E-2</v>
      </c>
      <c r="G281" s="3">
        <f t="shared" si="36"/>
        <v>8.2765174129353234</v>
      </c>
      <c r="H281" s="5">
        <f t="shared" si="37"/>
        <v>49.65910447761194</v>
      </c>
      <c r="I281">
        <f t="shared" si="38"/>
        <v>2238</v>
      </c>
    </row>
    <row r="282" spans="1:9" x14ac:dyDescent="0.45">
      <c r="A282">
        <v>3</v>
      </c>
      <c r="B282">
        <v>250</v>
      </c>
      <c r="C282">
        <v>105</v>
      </c>
      <c r="D282">
        <f t="shared" si="34"/>
        <v>250</v>
      </c>
      <c r="E282">
        <f t="shared" si="35"/>
        <v>3</v>
      </c>
      <c r="F282" s="1">
        <f>INDEX('App-Click Conversion by Rank'!$K$12:$S$31,MATCH(E282,'App-Click Conversion by Rank'!$J$12:$J$31,0),MATCH(D282,'App-Click Conversion by Rank'!$K$11:$S$11,0))</f>
        <v>0.10116550116550116</v>
      </c>
      <c r="G282" s="3">
        <f t="shared" si="36"/>
        <v>10.622377622377622</v>
      </c>
      <c r="H282" s="5">
        <f t="shared" si="37"/>
        <v>31.867132867132867</v>
      </c>
      <c r="I282">
        <f t="shared" si="38"/>
        <v>315</v>
      </c>
    </row>
    <row r="283" spans="1:9" x14ac:dyDescent="0.45">
      <c r="A283">
        <v>4</v>
      </c>
      <c r="B283">
        <v>500</v>
      </c>
      <c r="C283">
        <v>331</v>
      </c>
      <c r="D283">
        <f t="shared" ref="D283:D302" si="39">IF(B283&lt;=150,"&lt;=150",IF(B283&gt;500,"501+",B283))</f>
        <v>500</v>
      </c>
      <c r="E283">
        <f t="shared" ref="E283:E302" si="40">IF(A283&gt;=20,"20+",A283)</f>
        <v>4</v>
      </c>
      <c r="F283" s="1">
        <f>INDEX('App-Click Conversion by Rank'!$K$12:$S$31,MATCH(E283,'App-Click Conversion by Rank'!$J$12:$J$31,0),MATCH(D283,'App-Click Conversion by Rank'!$K$11:$S$11,0))</f>
        <v>3.3269961977186312E-2</v>
      </c>
      <c r="G283" s="3">
        <f t="shared" ref="G283:G302" si="41">C283*F283</f>
        <v>11.012357414448669</v>
      </c>
      <c r="H283" s="5">
        <f t="shared" ref="H283:H302" si="42">G283*A283</f>
        <v>44.049429657794676</v>
      </c>
      <c r="I283">
        <f t="shared" ref="I283:I302" si="43">C283*A283</f>
        <v>1324</v>
      </c>
    </row>
    <row r="284" spans="1:9" x14ac:dyDescent="0.45">
      <c r="A284">
        <v>7</v>
      </c>
      <c r="B284">
        <v>550</v>
      </c>
      <c r="C284">
        <v>179</v>
      </c>
      <c r="D284" t="str">
        <f t="shared" si="39"/>
        <v>501+</v>
      </c>
      <c r="E284">
        <f t="shared" si="40"/>
        <v>7</v>
      </c>
      <c r="F284" s="1">
        <f>INDEX('App-Click Conversion by Rank'!$K$12:$S$31,MATCH(E284,'App-Click Conversion by Rank'!$J$12:$J$31,0),MATCH(D284,'App-Click Conversion by Rank'!$K$11:$S$11,0))</f>
        <v>1.4011208967173739E-2</v>
      </c>
      <c r="G284" s="3">
        <f t="shared" si="41"/>
        <v>2.5080064051240996</v>
      </c>
      <c r="H284" s="5">
        <f t="shared" si="42"/>
        <v>17.556044835868697</v>
      </c>
      <c r="I284">
        <f t="shared" si="43"/>
        <v>1253</v>
      </c>
    </row>
    <row r="285" spans="1:9" x14ac:dyDescent="0.45">
      <c r="A285">
        <v>13</v>
      </c>
      <c r="B285">
        <v>400</v>
      </c>
      <c r="C285">
        <v>136</v>
      </c>
      <c r="D285">
        <f t="shared" si="39"/>
        <v>400</v>
      </c>
      <c r="E285">
        <f t="shared" si="40"/>
        <v>13</v>
      </c>
      <c r="F285" s="1">
        <f>INDEX('App-Click Conversion by Rank'!$K$12:$S$31,MATCH(E285,'App-Click Conversion by Rank'!$J$12:$J$31,0),MATCH(D285,'App-Click Conversion by Rank'!$K$11:$S$11,0))</f>
        <v>4.8470160557406846E-3</v>
      </c>
      <c r="G285" s="3">
        <f t="shared" si="41"/>
        <v>0.65919418358073312</v>
      </c>
      <c r="H285" s="5">
        <f t="shared" si="42"/>
        <v>8.5695243865495314</v>
      </c>
      <c r="I285">
        <f t="shared" si="43"/>
        <v>1768</v>
      </c>
    </row>
    <row r="286" spans="1:9" x14ac:dyDescent="0.45">
      <c r="A286">
        <v>8</v>
      </c>
      <c r="B286">
        <v>600</v>
      </c>
      <c r="C286">
        <v>22</v>
      </c>
      <c r="D286" t="str">
        <f t="shared" si="39"/>
        <v>501+</v>
      </c>
      <c r="E286">
        <f t="shared" si="40"/>
        <v>8</v>
      </c>
      <c r="F286" s="1">
        <f>INDEX('App-Click Conversion by Rank'!$K$12:$S$31,MATCH(E286,'App-Click Conversion by Rank'!$J$12:$J$31,0),MATCH(D286,'App-Click Conversion by Rank'!$K$11:$S$11,0))</f>
        <v>1.0399562123700055E-2</v>
      </c>
      <c r="G286" s="3">
        <f t="shared" si="41"/>
        <v>0.22879036672140121</v>
      </c>
      <c r="H286" s="5">
        <f t="shared" si="42"/>
        <v>1.8303229337712097</v>
      </c>
      <c r="I286">
        <f t="shared" si="43"/>
        <v>176</v>
      </c>
    </row>
    <row r="287" spans="1:9" x14ac:dyDescent="0.45">
      <c r="A287">
        <v>1</v>
      </c>
      <c r="B287">
        <v>300</v>
      </c>
      <c r="C287">
        <v>42</v>
      </c>
      <c r="D287">
        <f t="shared" si="39"/>
        <v>300</v>
      </c>
      <c r="E287">
        <f t="shared" si="40"/>
        <v>1</v>
      </c>
      <c r="F287" s="1">
        <f>INDEX('App-Click Conversion by Rank'!$K$12:$S$31,MATCH(E287,'App-Click Conversion by Rank'!$J$12:$J$31,0),MATCH(D287,'App-Click Conversion by Rank'!$K$11:$S$11,0))</f>
        <v>0.27164439279488667</v>
      </c>
      <c r="G287" s="3">
        <f t="shared" si="41"/>
        <v>11.40906449738524</v>
      </c>
      <c r="H287" s="5">
        <f t="shared" si="42"/>
        <v>11.40906449738524</v>
      </c>
      <c r="I287">
        <f t="shared" si="43"/>
        <v>42</v>
      </c>
    </row>
    <row r="288" spans="1:9" x14ac:dyDescent="0.45">
      <c r="A288">
        <v>15</v>
      </c>
      <c r="B288">
        <v>350</v>
      </c>
      <c r="C288">
        <v>24</v>
      </c>
      <c r="D288">
        <f t="shared" si="39"/>
        <v>350</v>
      </c>
      <c r="E288">
        <f t="shared" si="40"/>
        <v>15</v>
      </c>
      <c r="F288" s="1">
        <f>INDEX('App-Click Conversion by Rank'!$K$12:$S$31,MATCH(E288,'App-Click Conversion by Rank'!$J$12:$J$31,0),MATCH(D288,'App-Click Conversion by Rank'!$K$11:$S$11,0))</f>
        <v>4.048582995951417E-3</v>
      </c>
      <c r="G288" s="3">
        <f t="shared" si="41"/>
        <v>9.7165991902834009E-2</v>
      </c>
      <c r="H288" s="5">
        <f t="shared" si="42"/>
        <v>1.4574898785425101</v>
      </c>
      <c r="I288">
        <f t="shared" si="43"/>
        <v>360</v>
      </c>
    </row>
    <row r="289" spans="1:9" x14ac:dyDescent="0.45">
      <c r="A289">
        <v>28</v>
      </c>
      <c r="B289">
        <v>500</v>
      </c>
      <c r="C289">
        <v>49</v>
      </c>
      <c r="D289">
        <f t="shared" si="39"/>
        <v>500</v>
      </c>
      <c r="E289" t="str">
        <f t="shared" si="40"/>
        <v>20+</v>
      </c>
      <c r="F289" s="1">
        <f>INDEX('App-Click Conversion by Rank'!$K$12:$S$31,MATCH(E289,'App-Click Conversion by Rank'!$J$12:$J$31,0),MATCH(D289,'App-Click Conversion by Rank'!$K$11:$S$11,0))</f>
        <v>5.1121544079290558E-3</v>
      </c>
      <c r="G289" s="3">
        <f t="shared" si="41"/>
        <v>0.25049556598852374</v>
      </c>
      <c r="H289" s="5">
        <f t="shared" si="42"/>
        <v>7.0138758476786647</v>
      </c>
      <c r="I289">
        <f t="shared" si="43"/>
        <v>1372</v>
      </c>
    </row>
    <row r="290" spans="1:9" x14ac:dyDescent="0.45">
      <c r="A290">
        <v>3</v>
      </c>
      <c r="B290">
        <v>200</v>
      </c>
      <c r="C290">
        <v>57</v>
      </c>
      <c r="D290">
        <f t="shared" si="39"/>
        <v>200</v>
      </c>
      <c r="E290">
        <f t="shared" si="40"/>
        <v>3</v>
      </c>
      <c r="F290" s="1">
        <f>INDEX('App-Click Conversion by Rank'!$K$12:$S$31,MATCH(E290,'App-Click Conversion by Rank'!$J$12:$J$31,0),MATCH(D290,'App-Click Conversion by Rank'!$K$11:$S$11,0))</f>
        <v>9.3181818181818185E-2</v>
      </c>
      <c r="G290" s="3">
        <f t="shared" si="41"/>
        <v>5.3113636363636365</v>
      </c>
      <c r="H290" s="5">
        <f t="shared" si="42"/>
        <v>15.934090909090909</v>
      </c>
      <c r="I290">
        <f t="shared" si="43"/>
        <v>171</v>
      </c>
    </row>
    <row r="291" spans="1:9" x14ac:dyDescent="0.45">
      <c r="A291">
        <v>29</v>
      </c>
      <c r="B291">
        <v>600</v>
      </c>
      <c r="C291">
        <v>21</v>
      </c>
      <c r="D291" t="str">
        <f t="shared" si="39"/>
        <v>501+</v>
      </c>
      <c r="E291" t="str">
        <f t="shared" si="40"/>
        <v>20+</v>
      </c>
      <c r="F291" s="1">
        <f>INDEX('App-Click Conversion by Rank'!$K$12:$S$31,MATCH(E291,'App-Click Conversion by Rank'!$J$12:$J$31,0),MATCH(D291,'App-Click Conversion by Rank'!$K$11:$S$11,0))</f>
        <v>5.9893958237873931E-3</v>
      </c>
      <c r="G291" s="3">
        <f t="shared" si="41"/>
        <v>0.12577731229953526</v>
      </c>
      <c r="H291" s="5">
        <f t="shared" si="42"/>
        <v>3.6475420566865226</v>
      </c>
      <c r="I291">
        <f t="shared" si="43"/>
        <v>609</v>
      </c>
    </row>
    <row r="292" spans="1:9" x14ac:dyDescent="0.45">
      <c r="A292">
        <v>16</v>
      </c>
      <c r="B292">
        <v>450</v>
      </c>
      <c r="C292">
        <v>45</v>
      </c>
      <c r="D292">
        <f t="shared" si="39"/>
        <v>450</v>
      </c>
      <c r="E292">
        <f t="shared" si="40"/>
        <v>16</v>
      </c>
      <c r="F292" s="1">
        <f>INDEX('App-Click Conversion by Rank'!$K$12:$S$31,MATCH(E292,'App-Click Conversion by Rank'!$J$12:$J$31,0),MATCH(D292,'App-Click Conversion by Rank'!$K$11:$S$11,0))</f>
        <v>3.4283265481037067E-3</v>
      </c>
      <c r="G292" s="3">
        <f t="shared" si="41"/>
        <v>0.15427469466466681</v>
      </c>
      <c r="H292" s="5">
        <f t="shared" si="42"/>
        <v>2.468395114634669</v>
      </c>
      <c r="I292">
        <f t="shared" si="43"/>
        <v>720</v>
      </c>
    </row>
    <row r="293" spans="1:9" x14ac:dyDescent="0.45">
      <c r="A293">
        <v>10</v>
      </c>
      <c r="B293">
        <v>250</v>
      </c>
      <c r="C293">
        <v>11</v>
      </c>
      <c r="D293">
        <f t="shared" si="39"/>
        <v>250</v>
      </c>
      <c r="E293">
        <f t="shared" si="40"/>
        <v>10</v>
      </c>
      <c r="F293" s="1">
        <f>INDEX('App-Click Conversion by Rank'!$K$12:$S$31,MATCH(E293,'App-Click Conversion by Rank'!$J$12:$J$31,0),MATCH(D293,'App-Click Conversion by Rank'!$K$11:$S$11,0))</f>
        <v>2.768166089965398E-2</v>
      </c>
      <c r="G293" s="3">
        <f t="shared" si="41"/>
        <v>0.30449826989619377</v>
      </c>
      <c r="H293" s="5">
        <f t="shared" si="42"/>
        <v>3.0449826989619377</v>
      </c>
      <c r="I293">
        <f t="shared" si="43"/>
        <v>110</v>
      </c>
    </row>
    <row r="294" spans="1:9" x14ac:dyDescent="0.45">
      <c r="A294">
        <v>12</v>
      </c>
      <c r="B294">
        <v>200</v>
      </c>
      <c r="C294">
        <v>7</v>
      </c>
      <c r="D294">
        <f t="shared" si="39"/>
        <v>200</v>
      </c>
      <c r="E294">
        <f t="shared" si="40"/>
        <v>12</v>
      </c>
      <c r="F294" s="1">
        <f>INDEX('App-Click Conversion by Rank'!$K$12:$S$31,MATCH(E294,'App-Click Conversion by Rank'!$J$12:$J$31,0),MATCH(D294,'App-Click Conversion by Rank'!$K$11:$S$11,0))</f>
        <v>1.1764705882352941E-2</v>
      </c>
      <c r="G294" s="3">
        <f t="shared" si="41"/>
        <v>8.2352941176470587E-2</v>
      </c>
      <c r="H294" s="5">
        <f t="shared" si="42"/>
        <v>0.9882352941176471</v>
      </c>
      <c r="I294">
        <f t="shared" si="43"/>
        <v>84</v>
      </c>
    </row>
    <row r="295" spans="1:9" x14ac:dyDescent="0.45">
      <c r="A295">
        <v>15</v>
      </c>
      <c r="B295">
        <v>300</v>
      </c>
      <c r="C295">
        <v>5</v>
      </c>
      <c r="D295">
        <f t="shared" si="39"/>
        <v>300</v>
      </c>
      <c r="E295">
        <f t="shared" si="40"/>
        <v>15</v>
      </c>
      <c r="F295" s="1">
        <f>INDEX('App-Click Conversion by Rank'!$K$12:$S$31,MATCH(E295,'App-Click Conversion by Rank'!$J$12:$J$31,0),MATCH(D295,'App-Click Conversion by Rank'!$K$11:$S$11,0))</f>
        <v>6.4850843060959796E-3</v>
      </c>
      <c r="G295" s="3">
        <f t="shared" si="41"/>
        <v>3.2425421530479899E-2</v>
      </c>
      <c r="H295" s="5">
        <f t="shared" si="42"/>
        <v>0.48638132295719849</v>
      </c>
      <c r="I295">
        <f t="shared" si="43"/>
        <v>75</v>
      </c>
    </row>
    <row r="296" spans="1:9" x14ac:dyDescent="0.45">
      <c r="A296">
        <v>25</v>
      </c>
      <c r="B296">
        <v>600</v>
      </c>
      <c r="C296">
        <v>17</v>
      </c>
      <c r="D296" t="str">
        <f t="shared" si="39"/>
        <v>501+</v>
      </c>
      <c r="E296" t="str">
        <f t="shared" si="40"/>
        <v>20+</v>
      </c>
      <c r="F296" s="1">
        <f>INDEX('App-Click Conversion by Rank'!$K$12:$S$31,MATCH(E296,'App-Click Conversion by Rank'!$J$12:$J$31,0),MATCH(D296,'App-Click Conversion by Rank'!$K$11:$S$11,0))</f>
        <v>5.9893958237873931E-3</v>
      </c>
      <c r="G296" s="3">
        <f t="shared" si="41"/>
        <v>0.10181972900438568</v>
      </c>
      <c r="H296" s="5">
        <f t="shared" si="42"/>
        <v>2.545493225109642</v>
      </c>
      <c r="I296">
        <f t="shared" si="43"/>
        <v>425</v>
      </c>
    </row>
    <row r="297" spans="1:9" x14ac:dyDescent="0.45">
      <c r="A297">
        <v>30</v>
      </c>
      <c r="B297">
        <v>450</v>
      </c>
      <c r="C297">
        <v>3</v>
      </c>
      <c r="D297">
        <f t="shared" si="39"/>
        <v>450</v>
      </c>
      <c r="E297" t="str">
        <f t="shared" si="40"/>
        <v>20+</v>
      </c>
      <c r="F297" s="1">
        <f>INDEX('App-Click Conversion by Rank'!$K$12:$S$31,MATCH(E297,'App-Click Conversion by Rank'!$J$12:$J$31,0),MATCH(D297,'App-Click Conversion by Rank'!$K$11:$S$11,0))</f>
        <v>5.6022408963585435E-3</v>
      </c>
      <c r="G297" s="3">
        <f t="shared" si="41"/>
        <v>1.680672268907563E-2</v>
      </c>
      <c r="H297" s="5">
        <f t="shared" si="42"/>
        <v>0.50420168067226889</v>
      </c>
      <c r="I297">
        <f t="shared" si="43"/>
        <v>90</v>
      </c>
    </row>
    <row r="298" spans="1:9" x14ac:dyDescent="0.45">
      <c r="A298">
        <v>22</v>
      </c>
      <c r="B298">
        <v>600</v>
      </c>
      <c r="C298">
        <v>3</v>
      </c>
      <c r="D298" t="str">
        <f t="shared" si="39"/>
        <v>501+</v>
      </c>
      <c r="E298" t="str">
        <f t="shared" si="40"/>
        <v>20+</v>
      </c>
      <c r="F298" s="1">
        <f>INDEX('App-Click Conversion by Rank'!$K$12:$S$31,MATCH(E298,'App-Click Conversion by Rank'!$J$12:$J$31,0),MATCH(D298,'App-Click Conversion by Rank'!$K$11:$S$11,0))</f>
        <v>5.9893958237873931E-3</v>
      </c>
      <c r="G298" s="3">
        <f t="shared" si="41"/>
        <v>1.7968187471362179E-2</v>
      </c>
      <c r="H298" s="5">
        <f t="shared" si="42"/>
        <v>0.39530012436996792</v>
      </c>
      <c r="I298">
        <f t="shared" si="43"/>
        <v>66</v>
      </c>
    </row>
    <row r="299" spans="1:9" x14ac:dyDescent="0.45">
      <c r="A299">
        <v>29</v>
      </c>
      <c r="B299">
        <v>650</v>
      </c>
      <c r="C299">
        <v>2</v>
      </c>
      <c r="D299" t="str">
        <f t="shared" si="39"/>
        <v>501+</v>
      </c>
      <c r="E299" t="str">
        <f t="shared" si="40"/>
        <v>20+</v>
      </c>
      <c r="F299" s="1">
        <f>INDEX('App-Click Conversion by Rank'!$K$12:$S$31,MATCH(E299,'App-Click Conversion by Rank'!$J$12:$J$31,0),MATCH(D299,'App-Click Conversion by Rank'!$K$11:$S$11,0))</f>
        <v>5.9893958237873931E-3</v>
      </c>
      <c r="G299" s="3">
        <f t="shared" si="41"/>
        <v>1.1978791647574786E-2</v>
      </c>
      <c r="H299" s="5">
        <f t="shared" si="42"/>
        <v>0.34738495777966882</v>
      </c>
      <c r="I299">
        <f t="shared" si="43"/>
        <v>58</v>
      </c>
    </row>
    <row r="300" spans="1:9" x14ac:dyDescent="0.45">
      <c r="A300">
        <v>8</v>
      </c>
      <c r="B300">
        <v>650</v>
      </c>
      <c r="C300">
        <v>6</v>
      </c>
      <c r="D300" t="str">
        <f t="shared" si="39"/>
        <v>501+</v>
      </c>
      <c r="E300">
        <f t="shared" si="40"/>
        <v>8</v>
      </c>
      <c r="F300" s="1">
        <f>INDEX('App-Click Conversion by Rank'!$K$12:$S$31,MATCH(E300,'App-Click Conversion by Rank'!$J$12:$J$31,0),MATCH(D300,'App-Click Conversion by Rank'!$K$11:$S$11,0))</f>
        <v>1.0399562123700055E-2</v>
      </c>
      <c r="G300" s="3">
        <f t="shared" si="41"/>
        <v>6.2397372742200329E-2</v>
      </c>
      <c r="H300" s="5">
        <f t="shared" si="42"/>
        <v>0.49917898193760263</v>
      </c>
      <c r="I300">
        <f t="shared" si="43"/>
        <v>48</v>
      </c>
    </row>
    <row r="301" spans="1:9" x14ac:dyDescent="0.45">
      <c r="A301">
        <v>35</v>
      </c>
      <c r="B301">
        <v>350</v>
      </c>
      <c r="C301">
        <v>1</v>
      </c>
      <c r="D301">
        <f t="shared" si="39"/>
        <v>350</v>
      </c>
      <c r="E301" t="str">
        <f t="shared" si="40"/>
        <v>20+</v>
      </c>
      <c r="F301" s="1">
        <f>INDEX('App-Click Conversion by Rank'!$K$12:$S$31,MATCH(E301,'App-Click Conversion by Rank'!$J$12:$J$31,0),MATCH(D301,'App-Click Conversion by Rank'!$K$11:$S$11,0))</f>
        <v>4.1279669762641896E-3</v>
      </c>
      <c r="G301" s="3">
        <f t="shared" si="41"/>
        <v>4.1279669762641896E-3</v>
      </c>
      <c r="H301" s="5">
        <f t="shared" si="42"/>
        <v>0.14447884416924664</v>
      </c>
      <c r="I301">
        <f t="shared" si="43"/>
        <v>35</v>
      </c>
    </row>
    <row r="302" spans="1:9" x14ac:dyDescent="0.45">
      <c r="A302">
        <v>8</v>
      </c>
      <c r="B302">
        <v>150</v>
      </c>
      <c r="C302">
        <v>3</v>
      </c>
      <c r="D302" t="str">
        <f t="shared" si="39"/>
        <v>&lt;=150</v>
      </c>
      <c r="E302">
        <f t="shared" si="40"/>
        <v>8</v>
      </c>
      <c r="F302" s="1">
        <f>INDEX('App-Click Conversion by Rank'!$K$12:$S$31,MATCH(E302,'App-Click Conversion by Rank'!$J$12:$J$31,0),MATCH(D302,'App-Click Conversion by Rank'!$K$11:$S$11,0))</f>
        <v>0</v>
      </c>
      <c r="G302" s="3">
        <f t="shared" si="41"/>
        <v>0</v>
      </c>
      <c r="H302" s="5">
        <f t="shared" si="42"/>
        <v>0</v>
      </c>
      <c r="I302">
        <f t="shared" si="43"/>
        <v>24</v>
      </c>
    </row>
    <row r="303" spans="1:9" x14ac:dyDescent="0.45">
      <c r="G303" s="3"/>
      <c r="H303" s="5"/>
    </row>
    <row r="304" spans="1:9" x14ac:dyDescent="0.45">
      <c r="G304" s="3"/>
      <c r="H304" s="5"/>
    </row>
    <row r="305" spans="7:8" x14ac:dyDescent="0.45">
      <c r="G305" s="3"/>
      <c r="H305" s="5"/>
    </row>
    <row r="306" spans="7:8" x14ac:dyDescent="0.45">
      <c r="G306" s="3"/>
      <c r="H306" s="5"/>
    </row>
    <row r="307" spans="7:8" x14ac:dyDescent="0.45">
      <c r="G307" s="3"/>
      <c r="H307" s="5"/>
    </row>
    <row r="308" spans="7:8" x14ac:dyDescent="0.45">
      <c r="G308" s="3"/>
      <c r="H308" s="5"/>
    </row>
    <row r="309" spans="7:8" x14ac:dyDescent="0.45">
      <c r="G309" s="3"/>
      <c r="H309" s="5"/>
    </row>
    <row r="310" spans="7:8" x14ac:dyDescent="0.45">
      <c r="G310" s="3"/>
      <c r="H310" s="5"/>
    </row>
    <row r="311" spans="7:8" x14ac:dyDescent="0.45">
      <c r="G311" s="3"/>
      <c r="H311" s="5"/>
    </row>
    <row r="312" spans="7:8" x14ac:dyDescent="0.45">
      <c r="G312" s="3"/>
      <c r="H312" s="5"/>
    </row>
    <row r="313" spans="7:8" x14ac:dyDescent="0.45">
      <c r="G313" s="3"/>
      <c r="H313" s="5"/>
    </row>
    <row r="314" spans="7:8" x14ac:dyDescent="0.45">
      <c r="G314" s="3"/>
      <c r="H314" s="5"/>
    </row>
    <row r="315" spans="7:8" x14ac:dyDescent="0.45">
      <c r="G315" s="3"/>
      <c r="H315" s="5"/>
    </row>
    <row r="316" spans="7:8" x14ac:dyDescent="0.45">
      <c r="G316" s="3"/>
      <c r="H316" s="5"/>
    </row>
    <row r="317" spans="7:8" x14ac:dyDescent="0.45">
      <c r="G317" s="3"/>
      <c r="H317" s="5"/>
    </row>
    <row r="318" spans="7:8" x14ac:dyDescent="0.45">
      <c r="G318" s="3"/>
      <c r="H318" s="5"/>
    </row>
    <row r="319" spans="7:8" x14ac:dyDescent="0.45">
      <c r="G319" s="3"/>
      <c r="H319" s="5"/>
    </row>
    <row r="320" spans="7:8" x14ac:dyDescent="0.45">
      <c r="G320" s="3"/>
      <c r="H320" s="5"/>
    </row>
    <row r="321" spans="7:8" x14ac:dyDescent="0.45">
      <c r="G321" s="3"/>
      <c r="H321" s="5"/>
    </row>
    <row r="322" spans="7:8" x14ac:dyDescent="0.45">
      <c r="G322" s="3"/>
      <c r="H322" s="5"/>
    </row>
    <row r="323" spans="7:8" x14ac:dyDescent="0.45">
      <c r="G323" s="3"/>
      <c r="H323" s="5"/>
    </row>
    <row r="324" spans="7:8" x14ac:dyDescent="0.45">
      <c r="G324" s="3"/>
      <c r="H324" s="5"/>
    </row>
    <row r="325" spans="7:8" x14ac:dyDescent="0.45">
      <c r="G325" s="3"/>
      <c r="H325" s="5"/>
    </row>
    <row r="326" spans="7:8" x14ac:dyDescent="0.45">
      <c r="G326" s="3"/>
      <c r="H326" s="5"/>
    </row>
    <row r="327" spans="7:8" x14ac:dyDescent="0.45">
      <c r="G327" s="3"/>
      <c r="H327" s="5"/>
    </row>
    <row r="328" spans="7:8" x14ac:dyDescent="0.45">
      <c r="G328" s="3"/>
      <c r="H328" s="5"/>
    </row>
    <row r="329" spans="7:8" x14ac:dyDescent="0.45">
      <c r="G329" s="3"/>
      <c r="H329" s="5"/>
    </row>
    <row r="330" spans="7:8" x14ac:dyDescent="0.45">
      <c r="G330" s="3"/>
      <c r="H330" s="5"/>
    </row>
    <row r="331" spans="7:8" x14ac:dyDescent="0.45">
      <c r="G331" s="3"/>
      <c r="H331" s="5"/>
    </row>
    <row r="332" spans="7:8" x14ac:dyDescent="0.45">
      <c r="G332" s="3"/>
      <c r="H332" s="5"/>
    </row>
    <row r="333" spans="7:8" x14ac:dyDescent="0.45">
      <c r="G333" s="3"/>
      <c r="H333" s="5"/>
    </row>
    <row r="334" spans="7:8" x14ac:dyDescent="0.45">
      <c r="G334" s="3"/>
      <c r="H334" s="5"/>
    </row>
    <row r="335" spans="7:8" x14ac:dyDescent="0.45">
      <c r="G335" s="3"/>
      <c r="H335" s="5"/>
    </row>
    <row r="336" spans="7:8" x14ac:dyDescent="0.45">
      <c r="G336" s="3"/>
      <c r="H336" s="5"/>
    </row>
    <row r="337" spans="7:8" x14ac:dyDescent="0.45">
      <c r="G337" s="3"/>
      <c r="H337" s="5"/>
    </row>
    <row r="338" spans="7:8" x14ac:dyDescent="0.45">
      <c r="G338" s="3"/>
      <c r="H338" s="5"/>
    </row>
    <row r="339" spans="7:8" x14ac:dyDescent="0.45">
      <c r="G339" s="3"/>
      <c r="H339" s="5"/>
    </row>
    <row r="340" spans="7:8" x14ac:dyDescent="0.45">
      <c r="G340" s="3"/>
      <c r="H340" s="5"/>
    </row>
    <row r="341" spans="7:8" x14ac:dyDescent="0.45">
      <c r="G341" s="3"/>
      <c r="H341" s="5"/>
    </row>
    <row r="342" spans="7:8" x14ac:dyDescent="0.45">
      <c r="G342" s="3"/>
      <c r="H342" s="5"/>
    </row>
    <row r="343" spans="7:8" x14ac:dyDescent="0.45">
      <c r="G343" s="3"/>
      <c r="H343" s="5"/>
    </row>
    <row r="344" spans="7:8" x14ac:dyDescent="0.45">
      <c r="G344" s="3"/>
      <c r="H344" s="5"/>
    </row>
    <row r="345" spans="7:8" x14ac:dyDescent="0.45">
      <c r="G345" s="3"/>
      <c r="H345" s="5"/>
    </row>
    <row r="346" spans="7:8" x14ac:dyDescent="0.45">
      <c r="G346" s="3"/>
      <c r="H346" s="5"/>
    </row>
    <row r="347" spans="7:8" x14ac:dyDescent="0.45">
      <c r="G347" s="3"/>
      <c r="H347" s="5"/>
    </row>
    <row r="348" spans="7:8" x14ac:dyDescent="0.45">
      <c r="G348" s="3"/>
      <c r="H348" s="5"/>
    </row>
    <row r="349" spans="7:8" x14ac:dyDescent="0.45">
      <c r="G349" s="3"/>
      <c r="H349" s="5"/>
    </row>
    <row r="350" spans="7:8" x14ac:dyDescent="0.45">
      <c r="G350" s="3"/>
      <c r="H350" s="5"/>
    </row>
    <row r="351" spans="7:8" x14ac:dyDescent="0.45">
      <c r="G351" s="3"/>
      <c r="H351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422C-EA42-4620-8A84-AB5213236377}">
  <dimension ref="A1:I351"/>
  <sheetViews>
    <sheetView workbookViewId="0">
      <selection activeCell="D247" sqref="D247:I282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18</v>
      </c>
      <c r="B2">
        <v>500</v>
      </c>
      <c r="C2">
        <v>76</v>
      </c>
      <c r="D2">
        <f>IF(B2&lt;=150,"&lt;=150",IF(B2&gt;500,"501+",B2))</f>
        <v>500</v>
      </c>
      <c r="E2">
        <f>IF(A2&gt;=20,"20+",A2)</f>
        <v>18</v>
      </c>
      <c r="F2" s="1">
        <f>INDEX('App-Click Conversion by Rank'!$K$12:$S$31,MATCH(E2,'App-Click Conversion by Rank'!$J$12:$J$31,0),MATCH(D2,'App-Click Conversion by Rank'!$K$11:$S$11,0))</f>
        <v>4.3760374226648555E-3</v>
      </c>
      <c r="G2" s="3">
        <f>C2*F2</f>
        <v>0.33257884412252903</v>
      </c>
      <c r="H2" s="5">
        <f>G2*A2</f>
        <v>5.9864191942055225</v>
      </c>
      <c r="I2">
        <f>C2*A2</f>
        <v>1368</v>
      </c>
    </row>
    <row r="3" spans="1:9" x14ac:dyDescent="0.45">
      <c r="A3">
        <v>12</v>
      </c>
      <c r="B3">
        <v>400</v>
      </c>
      <c r="C3">
        <v>153</v>
      </c>
      <c r="D3">
        <f t="shared" ref="D3:D66" si="0">IF(B3&lt;=150,"&lt;=150",IF(B3&gt;500,"501+",B3))</f>
        <v>400</v>
      </c>
      <c r="E3">
        <f t="shared" ref="E3:E66" si="1">IF(A3&gt;=20,"20+",A3)</f>
        <v>12</v>
      </c>
      <c r="F3" s="1">
        <f>INDEX('App-Click Conversion by Rank'!$K$12:$S$31,MATCH(E3,'App-Click Conversion by Rank'!$J$12:$J$31,0),MATCH(D3,'App-Click Conversion by Rank'!$K$11:$S$11,0))</f>
        <v>6.954102920723227E-3</v>
      </c>
      <c r="G3" s="3">
        <f t="shared" ref="G3:G66" si="2">C3*F3</f>
        <v>1.0639777468706537</v>
      </c>
      <c r="H3" s="5">
        <f t="shared" ref="H3:H66" si="3">G3*A3</f>
        <v>12.767732962447845</v>
      </c>
      <c r="I3">
        <f t="shared" ref="I3:I66" si="4">C3*A3</f>
        <v>1836</v>
      </c>
    </row>
    <row r="4" spans="1:9" x14ac:dyDescent="0.45">
      <c r="A4">
        <v>17</v>
      </c>
      <c r="B4">
        <v>450</v>
      </c>
      <c r="C4">
        <v>27</v>
      </c>
      <c r="D4">
        <f t="shared" si="0"/>
        <v>450</v>
      </c>
      <c r="E4">
        <f t="shared" si="1"/>
        <v>17</v>
      </c>
      <c r="F4" s="1">
        <f>INDEX('App-Click Conversion by Rank'!$K$12:$S$31,MATCH(E4,'App-Click Conversion by Rank'!$J$12:$J$31,0),MATCH(D4,'App-Click Conversion by Rank'!$K$11:$S$11,0))</f>
        <v>3.609293931874577E-3</v>
      </c>
      <c r="G4" s="3">
        <f t="shared" si="2"/>
        <v>9.745093616061358E-2</v>
      </c>
      <c r="H4" s="5">
        <f t="shared" si="3"/>
        <v>1.6566659147304308</v>
      </c>
      <c r="I4">
        <f t="shared" si="4"/>
        <v>459</v>
      </c>
    </row>
    <row r="5" spans="1:9" x14ac:dyDescent="0.45">
      <c r="A5">
        <v>20</v>
      </c>
      <c r="B5">
        <v>550</v>
      </c>
      <c r="C5">
        <v>22</v>
      </c>
      <c r="D5" t="str">
        <f t="shared" si="0"/>
        <v>501+</v>
      </c>
      <c r="E5" t="str">
        <f t="shared" si="1"/>
        <v>20+</v>
      </c>
      <c r="F5" s="1">
        <f>INDEX('App-Click Conversion by Rank'!$K$12:$S$31,MATCH(E5,'App-Click Conversion by Rank'!$J$12:$J$31,0),MATCH(D5,'App-Click Conversion by Rank'!$K$11:$S$11,0))</f>
        <v>5.9893958237873931E-3</v>
      </c>
      <c r="G5" s="3">
        <f t="shared" si="2"/>
        <v>0.13176670812332264</v>
      </c>
      <c r="H5" s="5">
        <f t="shared" si="3"/>
        <v>2.635334162466453</v>
      </c>
      <c r="I5">
        <f t="shared" si="4"/>
        <v>440</v>
      </c>
    </row>
    <row r="6" spans="1:9" x14ac:dyDescent="0.45">
      <c r="A6">
        <v>19</v>
      </c>
      <c r="B6">
        <v>400</v>
      </c>
      <c r="C6">
        <v>5</v>
      </c>
      <c r="D6">
        <f t="shared" si="0"/>
        <v>400</v>
      </c>
      <c r="E6">
        <f t="shared" si="1"/>
        <v>19</v>
      </c>
      <c r="F6" s="1">
        <f>INDEX('App-Click Conversion by Rank'!$K$12:$S$31,MATCH(E6,'App-Click Conversion by Rank'!$J$12:$J$31,0),MATCH(D6,'App-Click Conversion by Rank'!$K$11:$S$11,0))</f>
        <v>2.1220159151193632E-3</v>
      </c>
      <c r="G6" s="3">
        <f t="shared" si="2"/>
        <v>1.0610079575596816E-2</v>
      </c>
      <c r="H6" s="5">
        <f t="shared" si="3"/>
        <v>0.20159151193633951</v>
      </c>
      <c r="I6">
        <f t="shared" si="4"/>
        <v>95</v>
      </c>
    </row>
    <row r="7" spans="1:9" x14ac:dyDescent="0.45">
      <c r="A7">
        <v>8</v>
      </c>
      <c r="B7">
        <v>250</v>
      </c>
      <c r="C7">
        <v>14</v>
      </c>
      <c r="D7">
        <f t="shared" si="0"/>
        <v>250</v>
      </c>
      <c r="E7">
        <f t="shared" si="1"/>
        <v>8</v>
      </c>
      <c r="F7" s="1">
        <f>INDEX('App-Click Conversion by Rank'!$K$12:$S$31,MATCH(E7,'App-Click Conversion by Rank'!$J$12:$J$31,0),MATCH(D7,'App-Click Conversion by Rank'!$K$11:$S$11,0))</f>
        <v>3.04E-2</v>
      </c>
      <c r="G7" s="3">
        <f t="shared" si="2"/>
        <v>0.42559999999999998</v>
      </c>
      <c r="H7" s="5">
        <f t="shared" si="3"/>
        <v>3.4047999999999998</v>
      </c>
      <c r="I7">
        <f t="shared" si="4"/>
        <v>112</v>
      </c>
    </row>
    <row r="8" spans="1:9" x14ac:dyDescent="0.45">
      <c r="A8">
        <v>31</v>
      </c>
      <c r="B8">
        <v>400</v>
      </c>
      <c r="C8">
        <v>2</v>
      </c>
      <c r="D8">
        <f t="shared" si="0"/>
        <v>400</v>
      </c>
      <c r="E8" t="str">
        <f t="shared" si="1"/>
        <v>20+</v>
      </c>
      <c r="F8" s="1">
        <f>INDEX('App-Click Conversion by Rank'!$K$12:$S$31,MATCH(E8,'App-Click Conversion by Rank'!$J$12:$J$31,0),MATCH(D8,'App-Click Conversion by Rank'!$K$11:$S$11,0))</f>
        <v>6.4196625091709463E-3</v>
      </c>
      <c r="G8" s="3">
        <f t="shared" si="2"/>
        <v>1.2839325018341893E-2</v>
      </c>
      <c r="H8" s="5">
        <f t="shared" si="3"/>
        <v>0.39801907556859867</v>
      </c>
      <c r="I8">
        <f t="shared" si="4"/>
        <v>62</v>
      </c>
    </row>
    <row r="9" spans="1:9" x14ac:dyDescent="0.45">
      <c r="A9">
        <v>20</v>
      </c>
      <c r="B9">
        <v>450</v>
      </c>
      <c r="C9">
        <v>3</v>
      </c>
      <c r="D9">
        <f t="shared" si="0"/>
        <v>450</v>
      </c>
      <c r="E9" t="str">
        <f t="shared" si="1"/>
        <v>20+</v>
      </c>
      <c r="F9" s="1">
        <f>INDEX('App-Click Conversion by Rank'!$K$12:$S$31,MATCH(E9,'App-Click Conversion by Rank'!$J$12:$J$31,0),MATCH(D9,'App-Click Conversion by Rank'!$K$11:$S$11,0))</f>
        <v>5.6022408963585435E-3</v>
      </c>
      <c r="G9" s="3">
        <f t="shared" si="2"/>
        <v>1.680672268907563E-2</v>
      </c>
      <c r="H9" s="5">
        <f t="shared" si="3"/>
        <v>0.33613445378151258</v>
      </c>
      <c r="I9">
        <f t="shared" si="4"/>
        <v>60</v>
      </c>
    </row>
    <row r="10" spans="1:9" x14ac:dyDescent="0.45">
      <c r="A10">
        <v>17</v>
      </c>
      <c r="B10">
        <v>350</v>
      </c>
      <c r="C10">
        <v>1</v>
      </c>
      <c r="D10">
        <f t="shared" si="0"/>
        <v>350</v>
      </c>
      <c r="E10">
        <f t="shared" si="1"/>
        <v>17</v>
      </c>
      <c r="F10" s="1">
        <f>INDEX('App-Click Conversion by Rank'!$K$12:$S$31,MATCH(E10,'App-Click Conversion by Rank'!$J$12:$J$31,0),MATCH(D10,'App-Click Conversion by Rank'!$K$11:$S$11,0))</f>
        <v>2.5445292620865142E-3</v>
      </c>
      <c r="G10" s="3">
        <f t="shared" si="2"/>
        <v>2.5445292620865142E-3</v>
      </c>
      <c r="H10" s="5">
        <f t="shared" si="3"/>
        <v>4.3256997455470743E-2</v>
      </c>
      <c r="I10">
        <f t="shared" si="4"/>
        <v>17</v>
      </c>
    </row>
    <row r="11" spans="1:9" x14ac:dyDescent="0.45">
      <c r="A11">
        <v>6</v>
      </c>
      <c r="B11">
        <v>150</v>
      </c>
      <c r="C11">
        <v>9</v>
      </c>
      <c r="D11" t="str">
        <f t="shared" si="0"/>
        <v>&lt;=150</v>
      </c>
      <c r="E11">
        <f t="shared" si="1"/>
        <v>6</v>
      </c>
      <c r="F11" s="1">
        <f>INDEX('App-Click Conversion by Rank'!$K$12:$S$31,MATCH(E11,'App-Click Conversion by Rank'!$J$12:$J$31,0),MATCH(D11,'App-Click Conversion by Rank'!$K$11:$S$11,0))</f>
        <v>6.25E-2</v>
      </c>
      <c r="G11" s="3">
        <f t="shared" si="2"/>
        <v>0.5625</v>
      </c>
      <c r="H11" s="5">
        <f t="shared" si="3"/>
        <v>3.375</v>
      </c>
      <c r="I11">
        <f t="shared" si="4"/>
        <v>54</v>
      </c>
    </row>
    <row r="12" spans="1:9" x14ac:dyDescent="0.45">
      <c r="A12">
        <v>7</v>
      </c>
      <c r="B12">
        <v>200</v>
      </c>
      <c r="C12">
        <v>5</v>
      </c>
      <c r="D12">
        <f t="shared" si="0"/>
        <v>200</v>
      </c>
      <c r="E12">
        <f t="shared" si="1"/>
        <v>7</v>
      </c>
      <c r="F12" s="1">
        <f>INDEX('App-Click Conversion by Rank'!$K$12:$S$31,MATCH(E12,'App-Click Conversion by Rank'!$J$12:$J$31,0),MATCH(D12,'App-Click Conversion by Rank'!$K$11:$S$11,0))</f>
        <v>2.3569023569023569E-2</v>
      </c>
      <c r="G12" s="3">
        <f t="shared" si="2"/>
        <v>0.11784511784511785</v>
      </c>
      <c r="H12" s="5">
        <f t="shared" si="3"/>
        <v>0.82491582491582494</v>
      </c>
      <c r="I12">
        <f t="shared" si="4"/>
        <v>35</v>
      </c>
    </row>
    <row r="13" spans="1:9" x14ac:dyDescent="0.45">
      <c r="A13">
        <v>17</v>
      </c>
      <c r="B13">
        <v>300</v>
      </c>
      <c r="C13">
        <v>1</v>
      </c>
      <c r="D13">
        <f t="shared" si="0"/>
        <v>300</v>
      </c>
      <c r="E13">
        <f t="shared" si="1"/>
        <v>17</v>
      </c>
      <c r="F13" s="1">
        <f>INDEX('App-Click Conversion by Rank'!$K$12:$S$31,MATCH(E13,'App-Click Conversion by Rank'!$J$12:$J$31,0),MATCH(D13,'App-Click Conversion by Rank'!$K$11:$S$11,0))</f>
        <v>1.736111111111111E-3</v>
      </c>
      <c r="G13" s="3">
        <f t="shared" si="2"/>
        <v>1.736111111111111E-3</v>
      </c>
      <c r="H13" s="5">
        <f t="shared" si="3"/>
        <v>2.9513888888888888E-2</v>
      </c>
      <c r="I13">
        <f t="shared" si="4"/>
        <v>17</v>
      </c>
    </row>
    <row r="14" spans="1:9" x14ac:dyDescent="0.45">
      <c r="A14">
        <v>8</v>
      </c>
      <c r="B14">
        <v>200</v>
      </c>
      <c r="C14">
        <v>1</v>
      </c>
      <c r="D14">
        <f t="shared" si="0"/>
        <v>200</v>
      </c>
      <c r="E14">
        <f t="shared" si="1"/>
        <v>8</v>
      </c>
      <c r="F14" s="1">
        <f>INDEX('App-Click Conversion by Rank'!$K$12:$S$31,MATCH(E14,'App-Click Conversion by Rank'!$J$12:$J$31,0),MATCH(D14,'App-Click Conversion by Rank'!$K$11:$S$11,0))</f>
        <v>1.7817371937639197E-2</v>
      </c>
      <c r="G14" s="3">
        <f t="shared" si="2"/>
        <v>1.7817371937639197E-2</v>
      </c>
      <c r="H14" s="5">
        <f t="shared" si="3"/>
        <v>0.14253897550111358</v>
      </c>
      <c r="I14">
        <f t="shared" si="4"/>
        <v>8</v>
      </c>
    </row>
    <row r="15" spans="1:9" x14ac:dyDescent="0.45">
      <c r="A15">
        <v>2</v>
      </c>
      <c r="B15">
        <v>150</v>
      </c>
      <c r="C15">
        <v>2</v>
      </c>
      <c r="D15" t="str">
        <f t="shared" si="0"/>
        <v>&lt;=150</v>
      </c>
      <c r="E15">
        <f t="shared" si="1"/>
        <v>2</v>
      </c>
      <c r="F15" s="1">
        <f>INDEX('App-Click Conversion by Rank'!$K$12:$S$31,MATCH(E15,'App-Click Conversion by Rank'!$J$12:$J$31,0),MATCH(D15,'App-Click Conversion by Rank'!$K$11:$S$11,0))</f>
        <v>0.14536340852130325</v>
      </c>
      <c r="G15" s="3">
        <f t="shared" si="2"/>
        <v>0.2907268170426065</v>
      </c>
      <c r="H15" s="5">
        <f t="shared" si="3"/>
        <v>0.581453634085213</v>
      </c>
      <c r="I15">
        <f t="shared" si="4"/>
        <v>4</v>
      </c>
    </row>
    <row r="16" spans="1:9" x14ac:dyDescent="0.45">
      <c r="A16">
        <v>9</v>
      </c>
      <c r="B16">
        <v>550</v>
      </c>
      <c r="C16">
        <v>316</v>
      </c>
      <c r="D16" t="str">
        <f t="shared" si="0"/>
        <v>501+</v>
      </c>
      <c r="E16">
        <f t="shared" si="1"/>
        <v>9</v>
      </c>
      <c r="F16" s="1">
        <f>INDEX('App-Click Conversion by Rank'!$K$12:$S$31,MATCH(E16,'App-Click Conversion by Rank'!$J$12:$J$31,0),MATCH(D16,'App-Click Conversion by Rank'!$K$11:$S$11,0))</f>
        <v>6.6039061402276243E-3</v>
      </c>
      <c r="G16" s="3">
        <f t="shared" si="2"/>
        <v>2.0868343403119294</v>
      </c>
      <c r="H16" s="5">
        <f t="shared" si="3"/>
        <v>18.781509062807366</v>
      </c>
      <c r="I16">
        <f t="shared" si="4"/>
        <v>2844</v>
      </c>
    </row>
    <row r="17" spans="1:9" x14ac:dyDescent="0.45">
      <c r="A17">
        <v>10</v>
      </c>
      <c r="B17">
        <v>400</v>
      </c>
      <c r="C17">
        <v>165</v>
      </c>
      <c r="D17">
        <f t="shared" si="0"/>
        <v>400</v>
      </c>
      <c r="E17">
        <f t="shared" si="1"/>
        <v>10</v>
      </c>
      <c r="F17" s="1">
        <f>INDEX('App-Click Conversion by Rank'!$K$12:$S$31,MATCH(E17,'App-Click Conversion by Rank'!$J$12:$J$31,0),MATCH(D17,'App-Click Conversion by Rank'!$K$11:$S$11,0))</f>
        <v>9.4051257935574891E-3</v>
      </c>
      <c r="G17" s="3">
        <f t="shared" si="2"/>
        <v>1.5518457559369856</v>
      </c>
      <c r="H17" s="5">
        <f t="shared" si="3"/>
        <v>15.518457559369857</v>
      </c>
      <c r="I17">
        <f t="shared" si="4"/>
        <v>1650</v>
      </c>
    </row>
    <row r="18" spans="1:9" x14ac:dyDescent="0.45">
      <c r="A18">
        <v>3</v>
      </c>
      <c r="B18">
        <v>400</v>
      </c>
      <c r="C18">
        <v>655</v>
      </c>
      <c r="D18">
        <f t="shared" si="0"/>
        <v>400</v>
      </c>
      <c r="E18">
        <f t="shared" si="1"/>
        <v>3</v>
      </c>
      <c r="F18" s="1">
        <f>INDEX('App-Click Conversion by Rank'!$K$12:$S$31,MATCH(E18,'App-Click Conversion by Rank'!$J$12:$J$31,0),MATCH(D18,'App-Click Conversion by Rank'!$K$11:$S$11,0))</f>
        <v>5.9630292188431723E-2</v>
      </c>
      <c r="G18" s="3">
        <f t="shared" si="2"/>
        <v>39.057841383422776</v>
      </c>
      <c r="H18" s="5">
        <f t="shared" si="3"/>
        <v>117.17352415026832</v>
      </c>
      <c r="I18">
        <f t="shared" si="4"/>
        <v>1965</v>
      </c>
    </row>
    <row r="19" spans="1:9" x14ac:dyDescent="0.45">
      <c r="A19">
        <v>1</v>
      </c>
      <c r="B19">
        <v>150</v>
      </c>
      <c r="C19">
        <v>1</v>
      </c>
      <c r="D19" t="str">
        <f t="shared" si="0"/>
        <v>&lt;=150</v>
      </c>
      <c r="E19">
        <f t="shared" si="1"/>
        <v>1</v>
      </c>
      <c r="F19" s="1">
        <f>INDEX('App-Click Conversion by Rank'!$K$12:$S$31,MATCH(E19,'App-Click Conversion by Rank'!$J$12:$J$31,0),MATCH(D19,'App-Click Conversion by Rank'!$K$11:$S$11,0))</f>
        <v>0.37077294685990336</v>
      </c>
      <c r="G19" s="3">
        <f t="shared" si="2"/>
        <v>0.37077294685990336</v>
      </c>
      <c r="H19" s="5">
        <f t="shared" si="3"/>
        <v>0.37077294685990336</v>
      </c>
      <c r="I19">
        <f t="shared" si="4"/>
        <v>1</v>
      </c>
    </row>
    <row r="20" spans="1:9" x14ac:dyDescent="0.45">
      <c r="A20">
        <v>9</v>
      </c>
      <c r="B20">
        <v>450</v>
      </c>
      <c r="C20">
        <v>418</v>
      </c>
      <c r="D20">
        <f t="shared" si="0"/>
        <v>450</v>
      </c>
      <c r="E20">
        <f t="shared" si="1"/>
        <v>9</v>
      </c>
      <c r="F20" s="1">
        <f>INDEX('App-Click Conversion by Rank'!$K$12:$S$31,MATCH(E20,'App-Click Conversion by Rank'!$J$12:$J$31,0),MATCH(D20,'App-Click Conversion by Rank'!$K$11:$S$11,0))</f>
        <v>7.0911722141823444E-3</v>
      </c>
      <c r="G20" s="3">
        <f t="shared" si="2"/>
        <v>2.96410998552822</v>
      </c>
      <c r="H20" s="5">
        <f t="shared" si="3"/>
        <v>26.676989869753982</v>
      </c>
      <c r="I20">
        <f t="shared" si="4"/>
        <v>3762</v>
      </c>
    </row>
    <row r="21" spans="1:9" x14ac:dyDescent="0.45">
      <c r="A21">
        <v>5</v>
      </c>
      <c r="B21">
        <v>350</v>
      </c>
      <c r="C21">
        <v>161</v>
      </c>
      <c r="D21">
        <f t="shared" si="0"/>
        <v>350</v>
      </c>
      <c r="E21">
        <f t="shared" si="1"/>
        <v>5</v>
      </c>
      <c r="F21" s="1">
        <f>INDEX('App-Click Conversion by Rank'!$K$12:$S$31,MATCH(E21,'App-Click Conversion by Rank'!$J$12:$J$31,0),MATCH(D21,'App-Click Conversion by Rank'!$K$11:$S$11,0))</f>
        <v>3.7553141237600375E-2</v>
      </c>
      <c r="G21" s="3">
        <f t="shared" si="2"/>
        <v>6.04605573925366</v>
      </c>
      <c r="H21" s="5">
        <f t="shared" si="3"/>
        <v>30.2302786962683</v>
      </c>
      <c r="I21">
        <f t="shared" si="4"/>
        <v>805</v>
      </c>
    </row>
    <row r="22" spans="1:9" x14ac:dyDescent="0.45">
      <c r="A22">
        <v>4</v>
      </c>
      <c r="B22">
        <v>550</v>
      </c>
      <c r="C22">
        <v>156</v>
      </c>
      <c r="D22" t="str">
        <f t="shared" si="0"/>
        <v>501+</v>
      </c>
      <c r="E22">
        <f t="shared" si="1"/>
        <v>4</v>
      </c>
      <c r="F22" s="1">
        <f>INDEX('App-Click Conversion by Rank'!$K$12:$S$31,MATCH(E22,'App-Click Conversion by Rank'!$J$12:$J$31,0),MATCH(D22,'App-Click Conversion by Rank'!$K$11:$S$11,0))</f>
        <v>3.6664084688871675E-2</v>
      </c>
      <c r="G22" s="3">
        <f t="shared" si="2"/>
        <v>5.7195972114639808</v>
      </c>
      <c r="H22" s="5">
        <f t="shared" si="3"/>
        <v>22.878388845855923</v>
      </c>
      <c r="I22">
        <f t="shared" si="4"/>
        <v>624</v>
      </c>
    </row>
    <row r="23" spans="1:9" x14ac:dyDescent="0.45">
      <c r="A23">
        <v>1</v>
      </c>
      <c r="B23">
        <v>350</v>
      </c>
      <c r="C23">
        <v>57</v>
      </c>
      <c r="D23">
        <f t="shared" si="0"/>
        <v>350</v>
      </c>
      <c r="E23">
        <f t="shared" si="1"/>
        <v>1</v>
      </c>
      <c r="F23" s="1">
        <f>INDEX('App-Click Conversion by Rank'!$K$12:$S$31,MATCH(E23,'App-Click Conversion by Rank'!$J$12:$J$31,0),MATCH(D23,'App-Click Conversion by Rank'!$K$11:$S$11,0))</f>
        <v>0.22531939605110338</v>
      </c>
      <c r="G23" s="3">
        <f t="shared" si="2"/>
        <v>12.843205574912892</v>
      </c>
      <c r="H23" s="5">
        <f t="shared" si="3"/>
        <v>12.843205574912892</v>
      </c>
      <c r="I23">
        <f t="shared" si="4"/>
        <v>57</v>
      </c>
    </row>
    <row r="24" spans="1:9" x14ac:dyDescent="0.45">
      <c r="A24">
        <v>2</v>
      </c>
      <c r="B24">
        <v>500</v>
      </c>
      <c r="C24">
        <v>133</v>
      </c>
      <c r="D24">
        <f t="shared" si="0"/>
        <v>500</v>
      </c>
      <c r="E24">
        <f t="shared" si="1"/>
        <v>2</v>
      </c>
      <c r="F24" s="1">
        <f>INDEX('App-Click Conversion by Rank'!$K$12:$S$31,MATCH(E24,'App-Click Conversion by Rank'!$J$12:$J$31,0),MATCH(D24,'App-Click Conversion by Rank'!$K$11:$S$11,0))</f>
        <v>7.0611908899661568E-2</v>
      </c>
      <c r="G24" s="3">
        <f t="shared" si="2"/>
        <v>9.3913838836549886</v>
      </c>
      <c r="H24" s="5">
        <f t="shared" si="3"/>
        <v>18.782767767309977</v>
      </c>
      <c r="I24">
        <f t="shared" si="4"/>
        <v>266</v>
      </c>
    </row>
    <row r="25" spans="1:9" x14ac:dyDescent="0.45">
      <c r="A25">
        <v>11</v>
      </c>
      <c r="B25">
        <v>600</v>
      </c>
      <c r="C25">
        <v>35</v>
      </c>
      <c r="D25" t="str">
        <f t="shared" si="0"/>
        <v>501+</v>
      </c>
      <c r="E25">
        <f t="shared" si="1"/>
        <v>11</v>
      </c>
      <c r="F25" s="1">
        <f>INDEX('App-Click Conversion by Rank'!$K$12:$S$31,MATCH(E25,'App-Click Conversion by Rank'!$J$12:$J$31,0),MATCH(D25,'App-Click Conversion by Rank'!$K$11:$S$11,0))</f>
        <v>7.0175438596491229E-3</v>
      </c>
      <c r="G25" s="3">
        <f t="shared" si="2"/>
        <v>0.24561403508771931</v>
      </c>
      <c r="H25" s="5">
        <f t="shared" si="3"/>
        <v>2.7017543859649122</v>
      </c>
      <c r="I25">
        <f t="shared" si="4"/>
        <v>385</v>
      </c>
    </row>
    <row r="26" spans="1:9" x14ac:dyDescent="0.45">
      <c r="A26">
        <v>36</v>
      </c>
      <c r="B26">
        <v>550</v>
      </c>
      <c r="C26">
        <v>3</v>
      </c>
      <c r="D26" t="str">
        <f t="shared" si="0"/>
        <v>501+</v>
      </c>
      <c r="E26" t="str">
        <f t="shared" si="1"/>
        <v>20+</v>
      </c>
      <c r="F26" s="1">
        <f>INDEX('App-Click Conversion by Rank'!$K$12:$S$31,MATCH(E26,'App-Click Conversion by Rank'!$J$12:$J$31,0),MATCH(D26,'App-Click Conversion by Rank'!$K$11:$S$11,0))</f>
        <v>5.9893958237873931E-3</v>
      </c>
      <c r="G26" s="3">
        <f t="shared" si="2"/>
        <v>1.7968187471362179E-2</v>
      </c>
      <c r="H26" s="5">
        <f t="shared" si="3"/>
        <v>0.64685474896903838</v>
      </c>
      <c r="I26">
        <f t="shared" si="4"/>
        <v>108</v>
      </c>
    </row>
    <row r="27" spans="1:9" x14ac:dyDescent="0.45">
      <c r="A27">
        <v>20</v>
      </c>
      <c r="B27">
        <v>500</v>
      </c>
      <c r="C27">
        <v>13</v>
      </c>
      <c r="D27">
        <f t="shared" si="0"/>
        <v>500</v>
      </c>
      <c r="E27" t="str">
        <f t="shared" si="1"/>
        <v>20+</v>
      </c>
      <c r="F27" s="1">
        <f>INDEX('App-Click Conversion by Rank'!$K$12:$S$31,MATCH(E27,'App-Click Conversion by Rank'!$J$12:$J$31,0),MATCH(D27,'App-Click Conversion by Rank'!$K$11:$S$11,0))</f>
        <v>5.1121544079290558E-3</v>
      </c>
      <c r="G27" s="3">
        <f t="shared" si="2"/>
        <v>6.6458007303077729E-2</v>
      </c>
      <c r="H27" s="5">
        <f t="shared" si="3"/>
        <v>1.3291601460615545</v>
      </c>
      <c r="I27">
        <f t="shared" si="4"/>
        <v>260</v>
      </c>
    </row>
    <row r="28" spans="1:9" x14ac:dyDescent="0.45">
      <c r="A28">
        <v>28</v>
      </c>
      <c r="B28">
        <v>600</v>
      </c>
      <c r="C28">
        <v>2</v>
      </c>
      <c r="D28" t="str">
        <f t="shared" si="0"/>
        <v>501+</v>
      </c>
      <c r="E28" t="str">
        <f t="shared" si="1"/>
        <v>20+</v>
      </c>
      <c r="F28" s="1">
        <f>INDEX('App-Click Conversion by Rank'!$K$12:$S$31,MATCH(E28,'App-Click Conversion by Rank'!$J$12:$J$31,0),MATCH(D28,'App-Click Conversion by Rank'!$K$11:$S$11,0))</f>
        <v>5.9893958237873931E-3</v>
      </c>
      <c r="G28" s="3">
        <f t="shared" si="2"/>
        <v>1.1978791647574786E-2</v>
      </c>
      <c r="H28" s="5">
        <f t="shared" si="3"/>
        <v>0.33540616613209401</v>
      </c>
      <c r="I28">
        <f t="shared" si="4"/>
        <v>56</v>
      </c>
    </row>
    <row r="29" spans="1:9" x14ac:dyDescent="0.45">
      <c r="A29">
        <v>16</v>
      </c>
      <c r="B29">
        <v>600</v>
      </c>
      <c r="C29">
        <v>7</v>
      </c>
      <c r="D29" t="str">
        <f t="shared" si="0"/>
        <v>501+</v>
      </c>
      <c r="E29">
        <f t="shared" si="1"/>
        <v>16</v>
      </c>
      <c r="F29" s="1">
        <f>INDEX('App-Click Conversion by Rank'!$K$12:$S$31,MATCH(E29,'App-Click Conversion by Rank'!$J$12:$J$31,0),MATCH(D29,'App-Click Conversion by Rank'!$K$11:$S$11,0))</f>
        <v>3.5842293906810036E-3</v>
      </c>
      <c r="G29" s="3">
        <f t="shared" si="2"/>
        <v>2.5089605734767026E-2</v>
      </c>
      <c r="H29" s="5">
        <f t="shared" si="3"/>
        <v>0.40143369175627241</v>
      </c>
      <c r="I29">
        <f t="shared" si="4"/>
        <v>112</v>
      </c>
    </row>
    <row r="30" spans="1:9" x14ac:dyDescent="0.45">
      <c r="A30">
        <v>33</v>
      </c>
      <c r="B30">
        <v>550</v>
      </c>
      <c r="C30">
        <v>3</v>
      </c>
      <c r="D30" t="str">
        <f t="shared" si="0"/>
        <v>501+</v>
      </c>
      <c r="E30" t="str">
        <f t="shared" si="1"/>
        <v>20+</v>
      </c>
      <c r="F30" s="1">
        <f>INDEX('App-Click Conversion by Rank'!$K$12:$S$31,MATCH(E30,'App-Click Conversion by Rank'!$J$12:$J$31,0),MATCH(D30,'App-Click Conversion by Rank'!$K$11:$S$11,0))</f>
        <v>5.9893958237873931E-3</v>
      </c>
      <c r="G30" s="3">
        <f t="shared" si="2"/>
        <v>1.7968187471362179E-2</v>
      </c>
      <c r="H30" s="5">
        <f t="shared" si="3"/>
        <v>0.59295018655495191</v>
      </c>
      <c r="I30">
        <f t="shared" si="4"/>
        <v>99</v>
      </c>
    </row>
    <row r="31" spans="1:9" x14ac:dyDescent="0.45">
      <c r="A31">
        <v>9</v>
      </c>
      <c r="B31">
        <v>150</v>
      </c>
      <c r="C31">
        <v>2</v>
      </c>
      <c r="D31" t="str">
        <f t="shared" si="0"/>
        <v>&lt;=150</v>
      </c>
      <c r="E31">
        <f t="shared" si="1"/>
        <v>9</v>
      </c>
      <c r="F31" s="1">
        <f>INDEX('App-Click Conversion by Rank'!$K$12:$S$31,MATCH(E31,'App-Click Conversion by Rank'!$J$12:$J$31,0),MATCH(D31,'App-Click Conversion by Rank'!$K$11:$S$11,0))</f>
        <v>0</v>
      </c>
      <c r="G31" s="3">
        <f t="shared" si="2"/>
        <v>0</v>
      </c>
      <c r="H31" s="5">
        <f t="shared" si="3"/>
        <v>0</v>
      </c>
      <c r="I31">
        <f t="shared" si="4"/>
        <v>18</v>
      </c>
    </row>
    <row r="32" spans="1:9" x14ac:dyDescent="0.45">
      <c r="A32">
        <v>11</v>
      </c>
      <c r="B32">
        <v>650</v>
      </c>
      <c r="C32">
        <v>3</v>
      </c>
      <c r="D32" t="str">
        <f t="shared" si="0"/>
        <v>501+</v>
      </c>
      <c r="E32">
        <f t="shared" si="1"/>
        <v>11</v>
      </c>
      <c r="F32" s="1">
        <f>INDEX('App-Click Conversion by Rank'!$K$12:$S$31,MATCH(E32,'App-Click Conversion by Rank'!$J$12:$J$31,0),MATCH(D32,'App-Click Conversion by Rank'!$K$11:$S$11,0))</f>
        <v>7.0175438596491229E-3</v>
      </c>
      <c r="G32" s="3">
        <f t="shared" si="2"/>
        <v>2.1052631578947368E-2</v>
      </c>
      <c r="H32" s="5">
        <f t="shared" si="3"/>
        <v>0.23157894736842105</v>
      </c>
      <c r="I32">
        <f t="shared" si="4"/>
        <v>33</v>
      </c>
    </row>
    <row r="33" spans="1:9" x14ac:dyDescent="0.45">
      <c r="A33">
        <v>1</v>
      </c>
      <c r="B33">
        <v>600</v>
      </c>
      <c r="C33">
        <v>1</v>
      </c>
      <c r="D33" t="str">
        <f t="shared" si="0"/>
        <v>501+</v>
      </c>
      <c r="E33">
        <f t="shared" si="1"/>
        <v>1</v>
      </c>
      <c r="F33" s="1">
        <f>INDEX('App-Click Conversion by Rank'!$K$12:$S$31,MATCH(E33,'App-Click Conversion by Rank'!$J$12:$J$31,0),MATCH(D33,'App-Click Conversion by Rank'!$K$11:$S$11,0))</f>
        <v>0.12719738824711199</v>
      </c>
      <c r="G33" s="3">
        <f t="shared" si="2"/>
        <v>0.12719738824711199</v>
      </c>
      <c r="H33" s="5">
        <f t="shared" si="3"/>
        <v>0.12719738824711199</v>
      </c>
      <c r="I33">
        <f t="shared" si="4"/>
        <v>1</v>
      </c>
    </row>
    <row r="34" spans="1:9" x14ac:dyDescent="0.45">
      <c r="A34">
        <v>10</v>
      </c>
      <c r="B34">
        <v>500</v>
      </c>
      <c r="C34">
        <v>687</v>
      </c>
      <c r="D34">
        <f t="shared" si="0"/>
        <v>500</v>
      </c>
      <c r="E34">
        <f t="shared" si="1"/>
        <v>10</v>
      </c>
      <c r="F34" s="1">
        <f>INDEX('App-Click Conversion by Rank'!$K$12:$S$31,MATCH(E34,'App-Click Conversion by Rank'!$J$12:$J$31,0),MATCH(D34,'App-Click Conversion by Rank'!$K$11:$S$11,0))</f>
        <v>8.179029876178575E-3</v>
      </c>
      <c r="G34" s="3">
        <f t="shared" si="2"/>
        <v>5.6189935249346812</v>
      </c>
      <c r="H34" s="5">
        <f t="shared" si="3"/>
        <v>56.18993524934681</v>
      </c>
      <c r="I34">
        <f t="shared" si="4"/>
        <v>6870</v>
      </c>
    </row>
    <row r="35" spans="1:9" x14ac:dyDescent="0.45">
      <c r="A35">
        <v>3</v>
      </c>
      <c r="B35">
        <v>300</v>
      </c>
      <c r="C35">
        <v>293</v>
      </c>
      <c r="D35">
        <f t="shared" si="0"/>
        <v>300</v>
      </c>
      <c r="E35">
        <f t="shared" si="1"/>
        <v>3</v>
      </c>
      <c r="F35" s="1">
        <f>INDEX('App-Click Conversion by Rank'!$K$12:$S$31,MATCH(E35,'App-Click Conversion by Rank'!$J$12:$J$31,0),MATCH(D35,'App-Click Conversion by Rank'!$K$11:$S$11,0))</f>
        <v>7.8236914600550961E-2</v>
      </c>
      <c r="G35" s="3">
        <f t="shared" si="2"/>
        <v>22.923415977961433</v>
      </c>
      <c r="H35" s="5">
        <f t="shared" si="3"/>
        <v>68.770247933884292</v>
      </c>
      <c r="I35">
        <f t="shared" si="4"/>
        <v>879</v>
      </c>
    </row>
    <row r="36" spans="1:9" x14ac:dyDescent="0.45">
      <c r="A36">
        <v>10</v>
      </c>
      <c r="B36">
        <v>450</v>
      </c>
      <c r="C36">
        <v>347</v>
      </c>
      <c r="D36">
        <f t="shared" si="0"/>
        <v>450</v>
      </c>
      <c r="E36">
        <f t="shared" si="1"/>
        <v>10</v>
      </c>
      <c r="F36" s="1">
        <f>INDEX('App-Click Conversion by Rank'!$K$12:$S$31,MATCH(E36,'App-Click Conversion by Rank'!$J$12:$J$31,0),MATCH(D36,'App-Click Conversion by Rank'!$K$11:$S$11,0))</f>
        <v>8.6499845535990116E-3</v>
      </c>
      <c r="G36" s="3">
        <f t="shared" si="2"/>
        <v>3.001544640098857</v>
      </c>
      <c r="H36" s="5">
        <f t="shared" si="3"/>
        <v>30.015446400988569</v>
      </c>
      <c r="I36">
        <f t="shared" si="4"/>
        <v>3470</v>
      </c>
    </row>
    <row r="37" spans="1:9" x14ac:dyDescent="0.45">
      <c r="A37">
        <v>32</v>
      </c>
      <c r="B37">
        <v>550</v>
      </c>
      <c r="C37">
        <v>4</v>
      </c>
      <c r="D37" t="str">
        <f t="shared" si="0"/>
        <v>501+</v>
      </c>
      <c r="E37" t="str">
        <f t="shared" si="1"/>
        <v>20+</v>
      </c>
      <c r="F37" s="1">
        <f>INDEX('App-Click Conversion by Rank'!$K$12:$S$31,MATCH(E37,'App-Click Conversion by Rank'!$J$12:$J$31,0),MATCH(D37,'App-Click Conversion by Rank'!$K$11:$S$11,0))</f>
        <v>5.9893958237873931E-3</v>
      </c>
      <c r="G37" s="3">
        <f t="shared" si="2"/>
        <v>2.3957583295149572E-2</v>
      </c>
      <c r="H37" s="5">
        <f t="shared" si="3"/>
        <v>0.76664266544478632</v>
      </c>
      <c r="I37">
        <f t="shared" si="4"/>
        <v>128</v>
      </c>
    </row>
    <row r="38" spans="1:9" x14ac:dyDescent="0.45">
      <c r="A38">
        <v>11</v>
      </c>
      <c r="B38">
        <v>400</v>
      </c>
      <c r="C38">
        <v>171</v>
      </c>
      <c r="D38">
        <f t="shared" si="0"/>
        <v>400</v>
      </c>
      <c r="E38">
        <f t="shared" si="1"/>
        <v>11</v>
      </c>
      <c r="F38" s="1">
        <f>INDEX('App-Click Conversion by Rank'!$K$12:$S$31,MATCH(E38,'App-Click Conversion by Rank'!$J$12:$J$31,0),MATCH(D38,'App-Click Conversion by Rank'!$K$11:$S$11,0))</f>
        <v>8.6912065439672809E-3</v>
      </c>
      <c r="G38" s="3">
        <f t="shared" si="2"/>
        <v>1.4861963190184051</v>
      </c>
      <c r="H38" s="5">
        <f t="shared" si="3"/>
        <v>16.348159509202457</v>
      </c>
      <c r="I38">
        <f t="shared" si="4"/>
        <v>1881</v>
      </c>
    </row>
    <row r="39" spans="1:9" x14ac:dyDescent="0.45">
      <c r="A39">
        <v>27</v>
      </c>
      <c r="B39">
        <v>550</v>
      </c>
      <c r="C39">
        <v>6</v>
      </c>
      <c r="D39" t="str">
        <f t="shared" si="0"/>
        <v>501+</v>
      </c>
      <c r="E39" t="str">
        <f t="shared" si="1"/>
        <v>20+</v>
      </c>
      <c r="F39" s="1">
        <f>INDEX('App-Click Conversion by Rank'!$K$12:$S$31,MATCH(E39,'App-Click Conversion by Rank'!$J$12:$J$31,0),MATCH(D39,'App-Click Conversion by Rank'!$K$11:$S$11,0))</f>
        <v>5.9893958237873931E-3</v>
      </c>
      <c r="G39" s="3">
        <f t="shared" si="2"/>
        <v>3.5936374942724357E-2</v>
      </c>
      <c r="H39" s="5">
        <f t="shared" si="3"/>
        <v>0.97028212345355769</v>
      </c>
      <c r="I39">
        <f t="shared" si="4"/>
        <v>162</v>
      </c>
    </row>
    <row r="40" spans="1:9" x14ac:dyDescent="0.45">
      <c r="A40">
        <v>13</v>
      </c>
      <c r="B40">
        <v>350</v>
      </c>
      <c r="C40">
        <v>54</v>
      </c>
      <c r="D40">
        <f t="shared" si="0"/>
        <v>350</v>
      </c>
      <c r="E40">
        <f t="shared" si="1"/>
        <v>13</v>
      </c>
      <c r="F40" s="1">
        <f>INDEX('App-Click Conversion by Rank'!$K$12:$S$31,MATCH(E40,'App-Click Conversion by Rank'!$J$12:$J$31,0),MATCH(D40,'App-Click Conversion by Rank'!$K$11:$S$11,0))</f>
        <v>3.7654653039268424E-3</v>
      </c>
      <c r="G40" s="3">
        <f t="shared" si="2"/>
        <v>0.20333512641204948</v>
      </c>
      <c r="H40" s="5">
        <f t="shared" si="3"/>
        <v>2.6433566433566433</v>
      </c>
      <c r="I40">
        <f t="shared" si="4"/>
        <v>702</v>
      </c>
    </row>
    <row r="41" spans="1:9" x14ac:dyDescent="0.45">
      <c r="A41">
        <v>17</v>
      </c>
      <c r="B41">
        <v>550</v>
      </c>
      <c r="C41">
        <v>33</v>
      </c>
      <c r="D41" t="str">
        <f t="shared" si="0"/>
        <v>501+</v>
      </c>
      <c r="E41">
        <f t="shared" si="1"/>
        <v>17</v>
      </c>
      <c r="F41" s="1">
        <f>INDEX('App-Click Conversion by Rank'!$K$12:$S$31,MATCH(E41,'App-Click Conversion by Rank'!$J$12:$J$31,0),MATCH(D41,'App-Click Conversion by Rank'!$K$11:$S$11,0))</f>
        <v>2.660901380342591E-3</v>
      </c>
      <c r="G41" s="3">
        <f t="shared" si="2"/>
        <v>8.7809745551305496E-2</v>
      </c>
      <c r="H41" s="5">
        <f t="shared" si="3"/>
        <v>1.4927656743721935</v>
      </c>
      <c r="I41">
        <f t="shared" si="4"/>
        <v>561</v>
      </c>
    </row>
    <row r="42" spans="1:9" x14ac:dyDescent="0.45">
      <c r="A42">
        <v>10</v>
      </c>
      <c r="B42">
        <v>300</v>
      </c>
      <c r="C42">
        <v>28</v>
      </c>
      <c r="D42">
        <f t="shared" si="0"/>
        <v>300</v>
      </c>
      <c r="E42">
        <f t="shared" si="1"/>
        <v>10</v>
      </c>
      <c r="F42" s="1">
        <f>INDEX('App-Click Conversion by Rank'!$K$12:$S$31,MATCH(E42,'App-Click Conversion by Rank'!$J$12:$J$31,0),MATCH(D42,'App-Click Conversion by Rank'!$K$11:$S$11,0))</f>
        <v>1.560758082497213E-2</v>
      </c>
      <c r="G42" s="3">
        <f t="shared" si="2"/>
        <v>0.43701226309921964</v>
      </c>
      <c r="H42" s="5">
        <f t="shared" si="3"/>
        <v>4.3701226309921966</v>
      </c>
      <c r="I42">
        <f t="shared" si="4"/>
        <v>280</v>
      </c>
    </row>
    <row r="43" spans="1:9" x14ac:dyDescent="0.45">
      <c r="A43">
        <v>6</v>
      </c>
      <c r="B43">
        <v>600</v>
      </c>
      <c r="C43">
        <v>14</v>
      </c>
      <c r="D43" t="str">
        <f t="shared" si="0"/>
        <v>501+</v>
      </c>
      <c r="E43">
        <f t="shared" si="1"/>
        <v>6</v>
      </c>
      <c r="F43" s="1">
        <f>INDEX('App-Click Conversion by Rank'!$K$12:$S$31,MATCH(E43,'App-Click Conversion by Rank'!$J$12:$J$31,0),MATCH(D43,'App-Click Conversion by Rank'!$K$11:$S$11,0))</f>
        <v>2.4383744170552963E-2</v>
      </c>
      <c r="G43" s="3">
        <f t="shared" si="2"/>
        <v>0.34137241838774146</v>
      </c>
      <c r="H43" s="5">
        <f t="shared" si="3"/>
        <v>2.0482345103264485</v>
      </c>
      <c r="I43">
        <f t="shared" si="4"/>
        <v>84</v>
      </c>
    </row>
    <row r="44" spans="1:9" x14ac:dyDescent="0.45">
      <c r="A44">
        <v>5</v>
      </c>
      <c r="B44">
        <v>100</v>
      </c>
      <c r="C44">
        <v>2</v>
      </c>
      <c r="D44" t="str">
        <f t="shared" si="0"/>
        <v>&lt;=150</v>
      </c>
      <c r="E44">
        <f t="shared" si="1"/>
        <v>5</v>
      </c>
      <c r="F44" s="1">
        <f>INDEX('App-Click Conversion by Rank'!$K$12:$S$31,MATCH(E44,'App-Click Conversion by Rank'!$J$12:$J$31,0),MATCH(D44,'App-Click Conversion by Rank'!$K$11:$S$11,0))</f>
        <v>8.11965811965812E-2</v>
      </c>
      <c r="G44" s="3">
        <f t="shared" si="2"/>
        <v>0.1623931623931624</v>
      </c>
      <c r="H44" s="5">
        <f t="shared" si="3"/>
        <v>0.81196581196581197</v>
      </c>
      <c r="I44">
        <f t="shared" si="4"/>
        <v>10</v>
      </c>
    </row>
    <row r="45" spans="1:9" x14ac:dyDescent="0.45">
      <c r="A45">
        <v>2</v>
      </c>
      <c r="B45">
        <v>600</v>
      </c>
      <c r="C45">
        <v>3</v>
      </c>
      <c r="D45" t="str">
        <f t="shared" si="0"/>
        <v>501+</v>
      </c>
      <c r="E45">
        <f t="shared" si="1"/>
        <v>2</v>
      </c>
      <c r="F45" s="1">
        <f>INDEX('App-Click Conversion by Rank'!$K$12:$S$31,MATCH(E45,'App-Click Conversion by Rank'!$J$12:$J$31,0),MATCH(D45,'App-Click Conversion by Rank'!$K$11:$S$11,0))</f>
        <v>7.5343344885123856E-2</v>
      </c>
      <c r="G45" s="3">
        <f t="shared" si="2"/>
        <v>0.22603003465537158</v>
      </c>
      <c r="H45" s="5">
        <f t="shared" si="3"/>
        <v>0.45206006931074316</v>
      </c>
      <c r="I45">
        <f t="shared" si="4"/>
        <v>6</v>
      </c>
    </row>
    <row r="46" spans="1:9" x14ac:dyDescent="0.45">
      <c r="A46">
        <v>14</v>
      </c>
      <c r="B46">
        <v>200</v>
      </c>
      <c r="C46">
        <v>1</v>
      </c>
      <c r="D46">
        <f t="shared" si="0"/>
        <v>200</v>
      </c>
      <c r="E46">
        <f t="shared" si="1"/>
        <v>14</v>
      </c>
      <c r="F46" s="1">
        <f>INDEX('App-Click Conversion by Rank'!$K$12:$S$31,MATCH(E46,'App-Click Conversion by Rank'!$J$12:$J$31,0),MATCH(D46,'App-Click Conversion by Rank'!$K$11:$S$11,0))</f>
        <v>0</v>
      </c>
      <c r="G46" s="3">
        <f t="shared" si="2"/>
        <v>0</v>
      </c>
      <c r="H46" s="5">
        <f t="shared" si="3"/>
        <v>0</v>
      </c>
      <c r="I46">
        <f t="shared" si="4"/>
        <v>14</v>
      </c>
    </row>
    <row r="47" spans="1:9" x14ac:dyDescent="0.45">
      <c r="A47">
        <v>3</v>
      </c>
      <c r="B47">
        <v>500</v>
      </c>
      <c r="C47">
        <v>591</v>
      </c>
      <c r="D47">
        <f t="shared" si="0"/>
        <v>500</v>
      </c>
      <c r="E47">
        <f t="shared" si="1"/>
        <v>3</v>
      </c>
      <c r="F47" s="1">
        <f>INDEX('App-Click Conversion by Rank'!$K$12:$S$31,MATCH(E47,'App-Click Conversion by Rank'!$J$12:$J$31,0),MATCH(D47,'App-Click Conversion by Rank'!$K$11:$S$11,0))</f>
        <v>4.693648116919618E-2</v>
      </c>
      <c r="G47" s="3">
        <f t="shared" si="2"/>
        <v>27.739460370994941</v>
      </c>
      <c r="H47" s="5">
        <f t="shared" si="3"/>
        <v>83.218381112984815</v>
      </c>
      <c r="I47">
        <f t="shared" si="4"/>
        <v>1773</v>
      </c>
    </row>
    <row r="48" spans="1:9" x14ac:dyDescent="0.45">
      <c r="A48">
        <v>2</v>
      </c>
      <c r="B48">
        <v>550</v>
      </c>
      <c r="C48">
        <v>55</v>
      </c>
      <c r="D48" t="str">
        <f t="shared" si="0"/>
        <v>501+</v>
      </c>
      <c r="E48">
        <f t="shared" si="1"/>
        <v>2</v>
      </c>
      <c r="F48" s="1">
        <f>INDEX('App-Click Conversion by Rank'!$K$12:$S$31,MATCH(E48,'App-Click Conversion by Rank'!$J$12:$J$31,0),MATCH(D48,'App-Click Conversion by Rank'!$K$11:$S$11,0))</f>
        <v>7.5343344885123856E-2</v>
      </c>
      <c r="G48" s="3">
        <f t="shared" si="2"/>
        <v>4.1438839686818119</v>
      </c>
      <c r="H48" s="5">
        <f t="shared" si="3"/>
        <v>8.2877679373636237</v>
      </c>
      <c r="I48">
        <f t="shared" si="4"/>
        <v>110</v>
      </c>
    </row>
    <row r="49" spans="1:9" x14ac:dyDescent="0.45">
      <c r="A49">
        <v>8</v>
      </c>
      <c r="B49">
        <v>400</v>
      </c>
      <c r="C49">
        <v>257</v>
      </c>
      <c r="D49">
        <f t="shared" si="0"/>
        <v>400</v>
      </c>
      <c r="E49">
        <f t="shared" si="1"/>
        <v>8</v>
      </c>
      <c r="F49" s="1">
        <f>INDEX('App-Click Conversion by Rank'!$K$12:$S$31,MATCH(E49,'App-Click Conversion by Rank'!$J$12:$J$31,0),MATCH(D49,'App-Click Conversion by Rank'!$K$11:$S$11,0))</f>
        <v>1.1600471883602045E-2</v>
      </c>
      <c r="G49" s="3">
        <f t="shared" si="2"/>
        <v>2.9813212740857256</v>
      </c>
      <c r="H49" s="5">
        <f t="shared" si="3"/>
        <v>23.850570192685804</v>
      </c>
      <c r="I49">
        <f t="shared" si="4"/>
        <v>2056</v>
      </c>
    </row>
    <row r="50" spans="1:9" x14ac:dyDescent="0.45">
      <c r="A50">
        <v>6</v>
      </c>
      <c r="B50">
        <v>550</v>
      </c>
      <c r="C50">
        <v>162</v>
      </c>
      <c r="D50" t="str">
        <f t="shared" si="0"/>
        <v>501+</v>
      </c>
      <c r="E50">
        <f t="shared" si="1"/>
        <v>6</v>
      </c>
      <c r="F50" s="1">
        <f>INDEX('App-Click Conversion by Rank'!$K$12:$S$31,MATCH(E50,'App-Click Conversion by Rank'!$J$12:$J$31,0),MATCH(D50,'App-Click Conversion by Rank'!$K$11:$S$11,0))</f>
        <v>2.4383744170552963E-2</v>
      </c>
      <c r="G50" s="3">
        <f t="shared" si="2"/>
        <v>3.95016655562958</v>
      </c>
      <c r="H50" s="5">
        <f t="shared" si="3"/>
        <v>23.700999333777482</v>
      </c>
      <c r="I50">
        <f t="shared" si="4"/>
        <v>972</v>
      </c>
    </row>
    <row r="51" spans="1:9" x14ac:dyDescent="0.45">
      <c r="A51">
        <v>12</v>
      </c>
      <c r="B51">
        <v>250</v>
      </c>
      <c r="C51">
        <v>5</v>
      </c>
      <c r="D51">
        <f t="shared" si="0"/>
        <v>250</v>
      </c>
      <c r="E51">
        <f t="shared" si="1"/>
        <v>12</v>
      </c>
      <c r="F51" s="1">
        <f>INDEX('App-Click Conversion by Rank'!$K$12:$S$31,MATCH(E51,'App-Click Conversion by Rank'!$J$12:$J$31,0),MATCH(D51,'App-Click Conversion by Rank'!$K$11:$S$11,0))</f>
        <v>1.3333333333333334E-2</v>
      </c>
      <c r="G51" s="3">
        <f t="shared" si="2"/>
        <v>6.6666666666666666E-2</v>
      </c>
      <c r="H51" s="5">
        <f t="shared" si="3"/>
        <v>0.8</v>
      </c>
      <c r="I51">
        <f t="shared" si="4"/>
        <v>60</v>
      </c>
    </row>
    <row r="52" spans="1:9" x14ac:dyDescent="0.45">
      <c r="A52">
        <v>9</v>
      </c>
      <c r="B52">
        <v>600</v>
      </c>
      <c r="C52">
        <v>34</v>
      </c>
      <c r="D52" t="str">
        <f t="shared" si="0"/>
        <v>501+</v>
      </c>
      <c r="E52">
        <f t="shared" si="1"/>
        <v>9</v>
      </c>
      <c r="F52" s="1">
        <f>INDEX('App-Click Conversion by Rank'!$K$12:$S$31,MATCH(E52,'App-Click Conversion by Rank'!$J$12:$J$31,0),MATCH(D52,'App-Click Conversion by Rank'!$K$11:$S$11,0))</f>
        <v>6.6039061402276243E-3</v>
      </c>
      <c r="G52" s="3">
        <f t="shared" si="2"/>
        <v>0.22453280876773923</v>
      </c>
      <c r="H52" s="5">
        <f t="shared" si="3"/>
        <v>2.0207952789096533</v>
      </c>
      <c r="I52">
        <f t="shared" si="4"/>
        <v>306</v>
      </c>
    </row>
    <row r="53" spans="1:9" x14ac:dyDescent="0.45">
      <c r="A53">
        <v>13</v>
      </c>
      <c r="B53">
        <v>300</v>
      </c>
      <c r="C53">
        <v>12</v>
      </c>
      <c r="D53">
        <f t="shared" si="0"/>
        <v>300</v>
      </c>
      <c r="E53">
        <f t="shared" si="1"/>
        <v>13</v>
      </c>
      <c r="F53" s="1">
        <f>INDEX('App-Click Conversion by Rank'!$K$12:$S$31,MATCH(E53,'App-Click Conversion by Rank'!$J$12:$J$31,0),MATCH(D53,'App-Click Conversion by Rank'!$K$11:$S$11,0))</f>
        <v>1.0607521697203472E-2</v>
      </c>
      <c r="G53" s="3">
        <f t="shared" si="2"/>
        <v>0.12729026036644167</v>
      </c>
      <c r="H53" s="5">
        <f t="shared" si="3"/>
        <v>1.6547733847637418</v>
      </c>
      <c r="I53">
        <f t="shared" si="4"/>
        <v>156</v>
      </c>
    </row>
    <row r="54" spans="1:9" x14ac:dyDescent="0.45">
      <c r="A54">
        <v>4</v>
      </c>
      <c r="B54">
        <v>600</v>
      </c>
      <c r="C54">
        <v>18</v>
      </c>
      <c r="D54" t="str">
        <f t="shared" si="0"/>
        <v>501+</v>
      </c>
      <c r="E54">
        <f t="shared" si="1"/>
        <v>4</v>
      </c>
      <c r="F54" s="1">
        <f>INDEX('App-Click Conversion by Rank'!$K$12:$S$31,MATCH(E54,'App-Click Conversion by Rank'!$J$12:$J$31,0),MATCH(D54,'App-Click Conversion by Rank'!$K$11:$S$11,0))</f>
        <v>3.6664084688871675E-2</v>
      </c>
      <c r="G54" s="3">
        <f t="shared" si="2"/>
        <v>0.65995352439969013</v>
      </c>
      <c r="H54" s="5">
        <f t="shared" si="3"/>
        <v>2.6398140975987605</v>
      </c>
      <c r="I54">
        <f t="shared" si="4"/>
        <v>72</v>
      </c>
    </row>
    <row r="55" spans="1:9" x14ac:dyDescent="0.45">
      <c r="A55">
        <v>27</v>
      </c>
      <c r="B55">
        <v>500</v>
      </c>
      <c r="C55">
        <v>3</v>
      </c>
      <c r="D55">
        <f t="shared" si="0"/>
        <v>500</v>
      </c>
      <c r="E55" t="str">
        <f t="shared" si="1"/>
        <v>20+</v>
      </c>
      <c r="F55" s="1">
        <f>INDEX('App-Click Conversion by Rank'!$K$12:$S$31,MATCH(E55,'App-Click Conversion by Rank'!$J$12:$J$31,0),MATCH(D55,'App-Click Conversion by Rank'!$K$11:$S$11,0))</f>
        <v>5.1121544079290558E-3</v>
      </c>
      <c r="G55" s="3">
        <f t="shared" si="2"/>
        <v>1.5336463223787167E-2</v>
      </c>
      <c r="H55" s="5">
        <f t="shared" si="3"/>
        <v>0.41408450704225352</v>
      </c>
      <c r="I55">
        <f t="shared" si="4"/>
        <v>81</v>
      </c>
    </row>
    <row r="56" spans="1:9" x14ac:dyDescent="0.45">
      <c r="A56">
        <v>5</v>
      </c>
      <c r="B56">
        <v>600</v>
      </c>
      <c r="C56">
        <v>6</v>
      </c>
      <c r="D56" t="str">
        <f t="shared" si="0"/>
        <v>501+</v>
      </c>
      <c r="E56">
        <f t="shared" si="1"/>
        <v>5</v>
      </c>
      <c r="F56" s="1">
        <f>INDEX('App-Click Conversion by Rank'!$K$12:$S$31,MATCH(E56,'App-Click Conversion by Rank'!$J$12:$J$31,0),MATCH(D56,'App-Click Conversion by Rank'!$K$11:$S$11,0))</f>
        <v>2.0504113882721692E-2</v>
      </c>
      <c r="G56" s="3">
        <f t="shared" si="2"/>
        <v>0.12302468329633015</v>
      </c>
      <c r="H56" s="5">
        <f t="shared" si="3"/>
        <v>0.61512341648165081</v>
      </c>
      <c r="I56">
        <f t="shared" si="4"/>
        <v>30</v>
      </c>
    </row>
    <row r="57" spans="1:9" x14ac:dyDescent="0.45">
      <c r="A57">
        <v>36</v>
      </c>
      <c r="B57">
        <v>600</v>
      </c>
      <c r="C57">
        <v>1</v>
      </c>
      <c r="D57" t="str">
        <f t="shared" si="0"/>
        <v>501+</v>
      </c>
      <c r="E57" t="str">
        <f t="shared" si="1"/>
        <v>20+</v>
      </c>
      <c r="F57" s="1">
        <f>INDEX('App-Click Conversion by Rank'!$K$12:$S$31,MATCH(E57,'App-Click Conversion by Rank'!$J$12:$J$31,0),MATCH(D57,'App-Click Conversion by Rank'!$K$11:$S$11,0))</f>
        <v>5.9893958237873931E-3</v>
      </c>
      <c r="G57" s="3">
        <f t="shared" si="2"/>
        <v>5.9893958237873931E-3</v>
      </c>
      <c r="H57" s="5">
        <f t="shared" si="3"/>
        <v>0.21561824965634616</v>
      </c>
      <c r="I57">
        <f t="shared" si="4"/>
        <v>36</v>
      </c>
    </row>
    <row r="58" spans="1:9" x14ac:dyDescent="0.45">
      <c r="A58">
        <v>7</v>
      </c>
      <c r="B58">
        <v>600</v>
      </c>
      <c r="C58">
        <v>11</v>
      </c>
      <c r="D58" t="str">
        <f t="shared" si="0"/>
        <v>501+</v>
      </c>
      <c r="E58">
        <f t="shared" si="1"/>
        <v>7</v>
      </c>
      <c r="F58" s="1">
        <f>INDEX('App-Click Conversion by Rank'!$K$12:$S$31,MATCH(E58,'App-Click Conversion by Rank'!$J$12:$J$31,0),MATCH(D58,'App-Click Conversion by Rank'!$K$11:$S$11,0))</f>
        <v>1.4011208967173739E-2</v>
      </c>
      <c r="G58" s="3">
        <f t="shared" si="2"/>
        <v>0.15412329863891114</v>
      </c>
      <c r="H58" s="5">
        <f t="shared" si="3"/>
        <v>1.0788630904723779</v>
      </c>
      <c r="I58">
        <f t="shared" si="4"/>
        <v>77</v>
      </c>
    </row>
    <row r="59" spans="1:9" x14ac:dyDescent="0.45">
      <c r="A59">
        <v>29</v>
      </c>
      <c r="B59">
        <v>400</v>
      </c>
      <c r="C59">
        <v>2</v>
      </c>
      <c r="D59">
        <f t="shared" si="0"/>
        <v>400</v>
      </c>
      <c r="E59" t="str">
        <f t="shared" si="1"/>
        <v>20+</v>
      </c>
      <c r="F59" s="1">
        <f>INDEX('App-Click Conversion by Rank'!$K$12:$S$31,MATCH(E59,'App-Click Conversion by Rank'!$J$12:$J$31,0),MATCH(D59,'App-Click Conversion by Rank'!$K$11:$S$11,0))</f>
        <v>6.4196625091709463E-3</v>
      </c>
      <c r="G59" s="3">
        <f t="shared" si="2"/>
        <v>1.2839325018341893E-2</v>
      </c>
      <c r="H59" s="5">
        <f t="shared" si="3"/>
        <v>0.37234042553191488</v>
      </c>
      <c r="I59">
        <f t="shared" si="4"/>
        <v>58</v>
      </c>
    </row>
    <row r="60" spans="1:9" x14ac:dyDescent="0.45">
      <c r="A60">
        <v>21</v>
      </c>
      <c r="B60">
        <v>550</v>
      </c>
      <c r="C60">
        <v>2</v>
      </c>
      <c r="D60" t="str">
        <f t="shared" si="0"/>
        <v>501+</v>
      </c>
      <c r="E60" t="str">
        <f t="shared" si="1"/>
        <v>20+</v>
      </c>
      <c r="F60" s="1">
        <f>INDEX('App-Click Conversion by Rank'!$K$12:$S$31,MATCH(E60,'App-Click Conversion by Rank'!$J$12:$J$31,0),MATCH(D60,'App-Click Conversion by Rank'!$K$11:$S$11,0))</f>
        <v>5.9893958237873931E-3</v>
      </c>
      <c r="G60" s="3">
        <f t="shared" si="2"/>
        <v>1.1978791647574786E-2</v>
      </c>
      <c r="H60" s="5">
        <f t="shared" si="3"/>
        <v>0.25155462459907052</v>
      </c>
      <c r="I60">
        <f t="shared" si="4"/>
        <v>42</v>
      </c>
    </row>
    <row r="61" spans="1:9" x14ac:dyDescent="0.45">
      <c r="A61">
        <v>7</v>
      </c>
      <c r="B61">
        <v>650</v>
      </c>
      <c r="C61">
        <v>3</v>
      </c>
      <c r="D61" t="str">
        <f t="shared" si="0"/>
        <v>501+</v>
      </c>
      <c r="E61">
        <f t="shared" si="1"/>
        <v>7</v>
      </c>
      <c r="F61" s="1">
        <f>INDEX('App-Click Conversion by Rank'!$K$12:$S$31,MATCH(E61,'App-Click Conversion by Rank'!$J$12:$J$31,0),MATCH(D61,'App-Click Conversion by Rank'!$K$11:$S$11,0))</f>
        <v>1.4011208967173739E-2</v>
      </c>
      <c r="G61" s="3">
        <f t="shared" si="2"/>
        <v>4.2033626901521216E-2</v>
      </c>
      <c r="H61" s="5">
        <f t="shared" si="3"/>
        <v>0.29423538831064849</v>
      </c>
      <c r="I61">
        <f t="shared" si="4"/>
        <v>21</v>
      </c>
    </row>
    <row r="62" spans="1:9" x14ac:dyDescent="0.45">
      <c r="A62">
        <v>20</v>
      </c>
      <c r="B62">
        <v>600</v>
      </c>
      <c r="C62">
        <v>1</v>
      </c>
      <c r="D62" t="str">
        <f t="shared" si="0"/>
        <v>501+</v>
      </c>
      <c r="E62" t="str">
        <f t="shared" si="1"/>
        <v>20+</v>
      </c>
      <c r="F62" s="1">
        <f>INDEX('App-Click Conversion by Rank'!$K$12:$S$31,MATCH(E62,'App-Click Conversion by Rank'!$J$12:$J$31,0),MATCH(D62,'App-Click Conversion by Rank'!$K$11:$S$11,0))</f>
        <v>5.9893958237873931E-3</v>
      </c>
      <c r="G62" s="3">
        <f t="shared" si="2"/>
        <v>5.9893958237873931E-3</v>
      </c>
      <c r="H62" s="5">
        <f t="shared" si="3"/>
        <v>0.11978791647574787</v>
      </c>
      <c r="I62">
        <f t="shared" si="4"/>
        <v>20</v>
      </c>
    </row>
    <row r="63" spans="1:9" x14ac:dyDescent="0.45">
      <c r="A63">
        <v>4</v>
      </c>
      <c r="B63">
        <v>650</v>
      </c>
      <c r="C63">
        <v>3</v>
      </c>
      <c r="D63" t="str">
        <f t="shared" si="0"/>
        <v>501+</v>
      </c>
      <c r="E63">
        <f t="shared" si="1"/>
        <v>4</v>
      </c>
      <c r="F63" s="1">
        <f>INDEX('App-Click Conversion by Rank'!$K$12:$S$31,MATCH(E63,'App-Click Conversion by Rank'!$J$12:$J$31,0),MATCH(D63,'App-Click Conversion by Rank'!$K$11:$S$11,0))</f>
        <v>3.6664084688871675E-2</v>
      </c>
      <c r="G63" s="3">
        <f t="shared" si="2"/>
        <v>0.10999225406661503</v>
      </c>
      <c r="H63" s="5">
        <f t="shared" si="3"/>
        <v>0.43996901626646012</v>
      </c>
      <c r="I63">
        <f t="shared" si="4"/>
        <v>12</v>
      </c>
    </row>
    <row r="64" spans="1:9" x14ac:dyDescent="0.45">
      <c r="A64">
        <v>21</v>
      </c>
      <c r="B64">
        <v>500</v>
      </c>
      <c r="C64">
        <v>2</v>
      </c>
      <c r="D64">
        <f t="shared" si="0"/>
        <v>500</v>
      </c>
      <c r="E64" t="str">
        <f t="shared" si="1"/>
        <v>20+</v>
      </c>
      <c r="F64" s="1">
        <f>INDEX('App-Click Conversion by Rank'!$K$12:$S$31,MATCH(E64,'App-Click Conversion by Rank'!$J$12:$J$31,0),MATCH(D64,'App-Click Conversion by Rank'!$K$11:$S$11,0))</f>
        <v>5.1121544079290558E-3</v>
      </c>
      <c r="G64" s="3">
        <f t="shared" si="2"/>
        <v>1.0224308815858112E-2</v>
      </c>
      <c r="H64" s="5">
        <f t="shared" si="3"/>
        <v>0.21471048513302035</v>
      </c>
      <c r="I64">
        <f t="shared" si="4"/>
        <v>42</v>
      </c>
    </row>
    <row r="65" spans="1:9" x14ac:dyDescent="0.45">
      <c r="A65">
        <v>32</v>
      </c>
      <c r="B65">
        <v>500</v>
      </c>
      <c r="C65">
        <v>1</v>
      </c>
      <c r="D65">
        <f t="shared" si="0"/>
        <v>500</v>
      </c>
      <c r="E65" t="str">
        <f t="shared" si="1"/>
        <v>20+</v>
      </c>
      <c r="F65" s="1">
        <f>INDEX('App-Click Conversion by Rank'!$K$12:$S$31,MATCH(E65,'App-Click Conversion by Rank'!$J$12:$J$31,0),MATCH(D65,'App-Click Conversion by Rank'!$K$11:$S$11,0))</f>
        <v>5.1121544079290558E-3</v>
      </c>
      <c r="G65" s="3">
        <f t="shared" si="2"/>
        <v>5.1121544079290558E-3</v>
      </c>
      <c r="H65" s="5">
        <f t="shared" si="3"/>
        <v>0.16358894105372979</v>
      </c>
      <c r="I65">
        <f t="shared" si="4"/>
        <v>32</v>
      </c>
    </row>
    <row r="66" spans="1:9" x14ac:dyDescent="0.45">
      <c r="A66">
        <v>38</v>
      </c>
      <c r="B66">
        <v>550</v>
      </c>
      <c r="C66">
        <v>1</v>
      </c>
      <c r="D66" t="str">
        <f t="shared" si="0"/>
        <v>501+</v>
      </c>
      <c r="E66" t="str">
        <f t="shared" si="1"/>
        <v>20+</v>
      </c>
      <c r="F66" s="1">
        <f>INDEX('App-Click Conversion by Rank'!$K$12:$S$31,MATCH(E66,'App-Click Conversion by Rank'!$J$12:$J$31,0),MATCH(D66,'App-Click Conversion by Rank'!$K$11:$S$11,0))</f>
        <v>5.9893958237873931E-3</v>
      </c>
      <c r="G66" s="3">
        <f t="shared" si="2"/>
        <v>5.9893958237873931E-3</v>
      </c>
      <c r="H66" s="5">
        <f t="shared" si="3"/>
        <v>0.22759704130392094</v>
      </c>
      <c r="I66">
        <f t="shared" si="4"/>
        <v>38</v>
      </c>
    </row>
    <row r="67" spans="1:9" x14ac:dyDescent="0.45">
      <c r="A67">
        <v>33</v>
      </c>
      <c r="B67">
        <v>600</v>
      </c>
      <c r="C67">
        <v>1</v>
      </c>
      <c r="D67" t="str">
        <f t="shared" ref="D67:D130" si="5">IF(B67&lt;=150,"&lt;=150",IF(B67&gt;500,"501+",B67))</f>
        <v>501+</v>
      </c>
      <c r="E67" t="str">
        <f t="shared" ref="E67:E130" si="6">IF(A67&gt;=20,"20+",A67)</f>
        <v>20+</v>
      </c>
      <c r="F67" s="1">
        <f>INDEX('App-Click Conversion by Rank'!$K$12:$S$31,MATCH(E67,'App-Click Conversion by Rank'!$J$12:$J$31,0),MATCH(D67,'App-Click Conversion by Rank'!$K$11:$S$11,0))</f>
        <v>5.9893958237873931E-3</v>
      </c>
      <c r="G67" s="3">
        <f t="shared" ref="G67:G130" si="7">C67*F67</f>
        <v>5.9893958237873931E-3</v>
      </c>
      <c r="H67" s="5">
        <f t="shared" ref="H67:H130" si="8">G67*A67</f>
        <v>0.19765006218498396</v>
      </c>
      <c r="I67">
        <f t="shared" ref="I67:I130" si="9">C67*A67</f>
        <v>33</v>
      </c>
    </row>
    <row r="68" spans="1:9" x14ac:dyDescent="0.45">
      <c r="A68">
        <v>12</v>
      </c>
      <c r="B68">
        <v>700</v>
      </c>
      <c r="C68">
        <v>1</v>
      </c>
      <c r="D68" t="str">
        <f t="shared" si="5"/>
        <v>501+</v>
      </c>
      <c r="E68">
        <f t="shared" si="6"/>
        <v>12</v>
      </c>
      <c r="F68" s="1">
        <f>INDEX('App-Click Conversion by Rank'!$K$12:$S$31,MATCH(E68,'App-Click Conversion by Rank'!$J$12:$J$31,0),MATCH(D68,'App-Click Conversion by Rank'!$K$11:$S$11,0))</f>
        <v>4.3071439180157435E-3</v>
      </c>
      <c r="G68" s="3">
        <f t="shared" si="7"/>
        <v>4.3071439180157435E-3</v>
      </c>
      <c r="H68" s="5">
        <f t="shared" si="8"/>
        <v>5.1685727016188926E-2</v>
      </c>
      <c r="I68">
        <f t="shared" si="9"/>
        <v>12</v>
      </c>
    </row>
    <row r="69" spans="1:9" x14ac:dyDescent="0.45">
      <c r="A69">
        <v>2</v>
      </c>
      <c r="B69">
        <v>350</v>
      </c>
      <c r="C69">
        <v>157</v>
      </c>
      <c r="D69">
        <f t="shared" si="5"/>
        <v>350</v>
      </c>
      <c r="E69">
        <f t="shared" si="6"/>
        <v>2</v>
      </c>
      <c r="F69" s="1">
        <f>INDEX('App-Click Conversion by Rank'!$K$12:$S$31,MATCH(E69,'App-Click Conversion by Rank'!$J$12:$J$31,0),MATCH(D69,'App-Click Conversion by Rank'!$K$11:$S$11,0))</f>
        <v>0.10566877890049665</v>
      </c>
      <c r="G69" s="3">
        <f t="shared" si="7"/>
        <v>16.589998287377973</v>
      </c>
      <c r="H69" s="5">
        <f t="shared" si="8"/>
        <v>33.179996574755947</v>
      </c>
      <c r="I69">
        <f t="shared" si="9"/>
        <v>314</v>
      </c>
    </row>
    <row r="70" spans="1:9" x14ac:dyDescent="0.45">
      <c r="A70">
        <v>6</v>
      </c>
      <c r="B70">
        <v>450</v>
      </c>
      <c r="C70">
        <v>574</v>
      </c>
      <c r="D70">
        <f t="shared" si="5"/>
        <v>450</v>
      </c>
      <c r="E70">
        <f t="shared" si="6"/>
        <v>6</v>
      </c>
      <c r="F70" s="1">
        <f>INDEX('App-Click Conversion by Rank'!$K$12:$S$31,MATCH(E70,'App-Click Conversion by Rank'!$J$12:$J$31,0),MATCH(D70,'App-Click Conversion by Rank'!$K$11:$S$11,0))</f>
        <v>2.4506126531632907E-2</v>
      </c>
      <c r="G70" s="3">
        <f t="shared" si="7"/>
        <v>14.066516629157288</v>
      </c>
      <c r="H70" s="5">
        <f t="shared" si="8"/>
        <v>84.399099774943721</v>
      </c>
      <c r="I70">
        <f t="shared" si="9"/>
        <v>3444</v>
      </c>
    </row>
    <row r="71" spans="1:9" x14ac:dyDescent="0.45">
      <c r="A71">
        <v>6</v>
      </c>
      <c r="B71">
        <v>350</v>
      </c>
      <c r="C71">
        <v>245</v>
      </c>
      <c r="D71">
        <f t="shared" si="5"/>
        <v>350</v>
      </c>
      <c r="E71">
        <f t="shared" si="6"/>
        <v>6</v>
      </c>
      <c r="F71" s="1">
        <f>INDEX('App-Click Conversion by Rank'!$K$12:$S$31,MATCH(E71,'App-Click Conversion by Rank'!$J$12:$J$31,0),MATCH(D71,'App-Click Conversion by Rank'!$K$11:$S$11,0))</f>
        <v>2.8679245283018868E-2</v>
      </c>
      <c r="G71" s="3">
        <f t="shared" si="7"/>
        <v>7.0264150943396224</v>
      </c>
      <c r="H71" s="5">
        <f t="shared" si="8"/>
        <v>42.158490566037734</v>
      </c>
      <c r="I71">
        <f t="shared" si="9"/>
        <v>1470</v>
      </c>
    </row>
    <row r="72" spans="1:9" x14ac:dyDescent="0.45">
      <c r="A72">
        <v>17</v>
      </c>
      <c r="B72">
        <v>500</v>
      </c>
      <c r="C72">
        <v>72</v>
      </c>
      <c r="D72">
        <f t="shared" si="5"/>
        <v>500</v>
      </c>
      <c r="E72">
        <f t="shared" si="6"/>
        <v>17</v>
      </c>
      <c r="F72" s="1">
        <f>INDEX('App-Click Conversion by Rank'!$K$12:$S$31,MATCH(E72,'App-Click Conversion by Rank'!$J$12:$J$31,0),MATCH(D72,'App-Click Conversion by Rank'!$K$11:$S$11,0))</f>
        <v>3.625290023201856E-3</v>
      </c>
      <c r="G72" s="3">
        <f t="shared" si="7"/>
        <v>0.26102088167053361</v>
      </c>
      <c r="H72" s="5">
        <f t="shared" si="8"/>
        <v>4.4373549883990711</v>
      </c>
      <c r="I72">
        <f t="shared" si="9"/>
        <v>1224</v>
      </c>
    </row>
    <row r="73" spans="1:9" x14ac:dyDescent="0.45">
      <c r="A73">
        <v>15</v>
      </c>
      <c r="B73">
        <v>600</v>
      </c>
      <c r="C73">
        <v>39</v>
      </c>
      <c r="D73" t="str">
        <f t="shared" si="5"/>
        <v>501+</v>
      </c>
      <c r="E73">
        <f t="shared" si="6"/>
        <v>15</v>
      </c>
      <c r="F73" s="1">
        <f>INDEX('App-Click Conversion by Rank'!$K$12:$S$31,MATCH(E73,'App-Click Conversion by Rank'!$J$12:$J$31,0),MATCH(D73,'App-Click Conversion by Rank'!$K$11:$S$11,0))</f>
        <v>3.3794657225619568E-3</v>
      </c>
      <c r="G73" s="3">
        <f t="shared" si="7"/>
        <v>0.1317991631799163</v>
      </c>
      <c r="H73" s="5">
        <f t="shared" si="8"/>
        <v>1.9769874476987446</v>
      </c>
      <c r="I73">
        <f t="shared" si="9"/>
        <v>585</v>
      </c>
    </row>
    <row r="74" spans="1:9" x14ac:dyDescent="0.45">
      <c r="A74">
        <v>16</v>
      </c>
      <c r="B74">
        <v>550</v>
      </c>
      <c r="C74">
        <v>17</v>
      </c>
      <c r="D74" t="str">
        <f t="shared" si="5"/>
        <v>501+</v>
      </c>
      <c r="E74">
        <f t="shared" si="6"/>
        <v>16</v>
      </c>
      <c r="F74" s="1">
        <f>INDEX('App-Click Conversion by Rank'!$K$12:$S$31,MATCH(E74,'App-Click Conversion by Rank'!$J$12:$J$31,0),MATCH(D74,'App-Click Conversion by Rank'!$K$11:$S$11,0))</f>
        <v>3.5842293906810036E-3</v>
      </c>
      <c r="G74" s="3">
        <f t="shared" si="7"/>
        <v>6.093189964157706E-2</v>
      </c>
      <c r="H74" s="5">
        <f t="shared" si="8"/>
        <v>0.97491039426523296</v>
      </c>
      <c r="I74">
        <f t="shared" si="9"/>
        <v>272</v>
      </c>
    </row>
    <row r="75" spans="1:9" x14ac:dyDescent="0.45">
      <c r="A75">
        <v>2</v>
      </c>
      <c r="B75">
        <v>450</v>
      </c>
      <c r="C75">
        <v>201</v>
      </c>
      <c r="D75">
        <f t="shared" si="5"/>
        <v>450</v>
      </c>
      <c r="E75">
        <f t="shared" si="6"/>
        <v>2</v>
      </c>
      <c r="F75" s="1">
        <f>INDEX('App-Click Conversion by Rank'!$K$12:$S$31,MATCH(E75,'App-Click Conversion by Rank'!$J$12:$J$31,0),MATCH(D75,'App-Click Conversion by Rank'!$K$11:$S$11,0))</f>
        <v>7.482403898213319E-2</v>
      </c>
      <c r="G75" s="3">
        <f t="shared" si="7"/>
        <v>15.039631835408771</v>
      </c>
      <c r="H75" s="5">
        <f t="shared" si="8"/>
        <v>30.079263670817543</v>
      </c>
      <c r="I75">
        <f t="shared" si="9"/>
        <v>402</v>
      </c>
    </row>
    <row r="76" spans="1:9" x14ac:dyDescent="0.45">
      <c r="A76">
        <v>1</v>
      </c>
      <c r="B76">
        <v>550</v>
      </c>
      <c r="C76">
        <v>11</v>
      </c>
      <c r="D76" t="str">
        <f t="shared" si="5"/>
        <v>501+</v>
      </c>
      <c r="E76">
        <f t="shared" si="6"/>
        <v>1</v>
      </c>
      <c r="F76" s="1">
        <f>INDEX('App-Click Conversion by Rank'!$K$12:$S$31,MATCH(E76,'App-Click Conversion by Rank'!$J$12:$J$31,0),MATCH(D76,'App-Click Conversion by Rank'!$K$11:$S$11,0))</f>
        <v>0.12719738824711199</v>
      </c>
      <c r="G76" s="3">
        <f t="shared" si="7"/>
        <v>1.399171270718232</v>
      </c>
      <c r="H76" s="5">
        <f t="shared" si="8"/>
        <v>1.399171270718232</v>
      </c>
      <c r="I76">
        <f t="shared" si="9"/>
        <v>11</v>
      </c>
    </row>
    <row r="77" spans="1:9" x14ac:dyDescent="0.45">
      <c r="A77">
        <v>5</v>
      </c>
      <c r="B77">
        <v>300</v>
      </c>
      <c r="C77">
        <v>68</v>
      </c>
      <c r="D77">
        <f t="shared" si="5"/>
        <v>300</v>
      </c>
      <c r="E77">
        <f t="shared" si="6"/>
        <v>5</v>
      </c>
      <c r="F77" s="1">
        <f>INDEX('App-Click Conversion by Rank'!$K$12:$S$31,MATCH(E77,'App-Click Conversion by Rank'!$J$12:$J$31,0),MATCH(D77,'App-Click Conversion by Rank'!$K$11:$S$11,0))</f>
        <v>4.7058823529411764E-2</v>
      </c>
      <c r="G77" s="3">
        <f t="shared" si="7"/>
        <v>3.2</v>
      </c>
      <c r="H77" s="5">
        <f t="shared" si="8"/>
        <v>16</v>
      </c>
      <c r="I77">
        <f t="shared" si="9"/>
        <v>340</v>
      </c>
    </row>
    <row r="78" spans="1:9" x14ac:dyDescent="0.45">
      <c r="A78">
        <v>5</v>
      </c>
      <c r="B78">
        <v>150</v>
      </c>
      <c r="C78">
        <v>3</v>
      </c>
      <c r="D78" t="str">
        <f t="shared" si="5"/>
        <v>&lt;=150</v>
      </c>
      <c r="E78">
        <f t="shared" si="6"/>
        <v>5</v>
      </c>
      <c r="F78" s="1">
        <f>INDEX('App-Click Conversion by Rank'!$K$12:$S$31,MATCH(E78,'App-Click Conversion by Rank'!$J$12:$J$31,0),MATCH(D78,'App-Click Conversion by Rank'!$K$11:$S$11,0))</f>
        <v>8.11965811965812E-2</v>
      </c>
      <c r="G78" s="3">
        <f t="shared" si="7"/>
        <v>0.24358974358974361</v>
      </c>
      <c r="H78" s="5">
        <f t="shared" si="8"/>
        <v>1.2179487179487181</v>
      </c>
      <c r="I78">
        <f t="shared" si="9"/>
        <v>15</v>
      </c>
    </row>
    <row r="79" spans="1:9" x14ac:dyDescent="0.45">
      <c r="A79">
        <v>15</v>
      </c>
      <c r="B79">
        <v>650</v>
      </c>
      <c r="C79">
        <v>4</v>
      </c>
      <c r="D79" t="str">
        <f t="shared" si="5"/>
        <v>501+</v>
      </c>
      <c r="E79">
        <f t="shared" si="6"/>
        <v>15</v>
      </c>
      <c r="F79" s="1">
        <f>INDEX('App-Click Conversion by Rank'!$K$12:$S$31,MATCH(E79,'App-Click Conversion by Rank'!$J$12:$J$31,0),MATCH(D79,'App-Click Conversion by Rank'!$K$11:$S$11,0))</f>
        <v>3.3794657225619568E-3</v>
      </c>
      <c r="G79" s="3">
        <f t="shared" si="7"/>
        <v>1.3517862890247827E-2</v>
      </c>
      <c r="H79" s="5">
        <f t="shared" si="8"/>
        <v>0.20276794335371739</v>
      </c>
      <c r="I79">
        <f t="shared" si="9"/>
        <v>60</v>
      </c>
    </row>
    <row r="80" spans="1:9" x14ac:dyDescent="0.45">
      <c r="A80">
        <v>37</v>
      </c>
      <c r="B80">
        <v>600</v>
      </c>
      <c r="C80">
        <v>1</v>
      </c>
      <c r="D80" t="str">
        <f t="shared" si="5"/>
        <v>501+</v>
      </c>
      <c r="E80" t="str">
        <f t="shared" si="6"/>
        <v>20+</v>
      </c>
      <c r="F80" s="1">
        <f>INDEX('App-Click Conversion by Rank'!$K$12:$S$31,MATCH(E80,'App-Click Conversion by Rank'!$J$12:$J$31,0),MATCH(D80,'App-Click Conversion by Rank'!$K$11:$S$11,0))</f>
        <v>5.9893958237873931E-3</v>
      </c>
      <c r="G80" s="3">
        <f t="shared" si="7"/>
        <v>5.9893958237873931E-3</v>
      </c>
      <c r="H80" s="5">
        <f t="shared" si="8"/>
        <v>0.22160764548013354</v>
      </c>
      <c r="I80">
        <f t="shared" si="9"/>
        <v>37</v>
      </c>
    </row>
    <row r="81" spans="1:9" x14ac:dyDescent="0.45">
      <c r="A81">
        <v>4</v>
      </c>
      <c r="B81">
        <v>150</v>
      </c>
      <c r="C81">
        <v>3</v>
      </c>
      <c r="D81" t="str">
        <f t="shared" si="5"/>
        <v>&lt;=150</v>
      </c>
      <c r="E81">
        <f t="shared" si="6"/>
        <v>4</v>
      </c>
      <c r="F81" s="1">
        <f>INDEX('App-Click Conversion by Rank'!$K$12:$S$31,MATCH(E81,'App-Click Conversion by Rank'!$J$12:$J$31,0),MATCH(D81,'App-Click Conversion by Rank'!$K$11:$S$11,0))</f>
        <v>0.12549019607843137</v>
      </c>
      <c r="G81" s="3">
        <f t="shared" si="7"/>
        <v>0.37647058823529411</v>
      </c>
      <c r="H81" s="5">
        <f t="shared" si="8"/>
        <v>1.5058823529411764</v>
      </c>
      <c r="I81">
        <f t="shared" si="9"/>
        <v>12</v>
      </c>
    </row>
    <row r="82" spans="1:9" x14ac:dyDescent="0.45">
      <c r="A82">
        <v>28</v>
      </c>
      <c r="B82">
        <v>550</v>
      </c>
      <c r="C82">
        <v>3</v>
      </c>
      <c r="D82" t="str">
        <f t="shared" si="5"/>
        <v>501+</v>
      </c>
      <c r="E82" t="str">
        <f t="shared" si="6"/>
        <v>20+</v>
      </c>
      <c r="F82" s="1">
        <f>INDEX('App-Click Conversion by Rank'!$K$12:$S$31,MATCH(E82,'App-Click Conversion by Rank'!$J$12:$J$31,0),MATCH(D82,'App-Click Conversion by Rank'!$K$11:$S$11,0))</f>
        <v>5.9893958237873931E-3</v>
      </c>
      <c r="G82" s="3">
        <f t="shared" si="7"/>
        <v>1.7968187471362179E-2</v>
      </c>
      <c r="H82" s="5">
        <f t="shared" si="8"/>
        <v>0.50310924919814104</v>
      </c>
      <c r="I82">
        <f t="shared" si="9"/>
        <v>84</v>
      </c>
    </row>
    <row r="83" spans="1:9" x14ac:dyDescent="0.45">
      <c r="A83">
        <v>18</v>
      </c>
      <c r="B83">
        <v>400</v>
      </c>
      <c r="C83">
        <v>1</v>
      </c>
      <c r="D83">
        <f t="shared" si="5"/>
        <v>400</v>
      </c>
      <c r="E83">
        <f t="shared" si="6"/>
        <v>18</v>
      </c>
      <c r="F83" s="1">
        <f>INDEX('App-Click Conversion by Rank'!$K$12:$S$31,MATCH(E83,'App-Click Conversion by Rank'!$J$12:$J$31,0),MATCH(D83,'App-Click Conversion by Rank'!$K$11:$S$11,0))</f>
        <v>3.8113387327298712E-3</v>
      </c>
      <c r="G83" s="3">
        <f t="shared" si="7"/>
        <v>3.8113387327298712E-3</v>
      </c>
      <c r="H83" s="5">
        <f t="shared" si="8"/>
        <v>6.8604097189137681E-2</v>
      </c>
      <c r="I83">
        <f t="shared" si="9"/>
        <v>18</v>
      </c>
    </row>
    <row r="84" spans="1:9" x14ac:dyDescent="0.45">
      <c r="A84">
        <v>5</v>
      </c>
      <c r="B84">
        <v>650</v>
      </c>
      <c r="C84">
        <v>1</v>
      </c>
      <c r="D84" t="str">
        <f t="shared" si="5"/>
        <v>501+</v>
      </c>
      <c r="E84">
        <f t="shared" si="6"/>
        <v>5</v>
      </c>
      <c r="F84" s="1">
        <f>INDEX('App-Click Conversion by Rank'!$K$12:$S$31,MATCH(E84,'App-Click Conversion by Rank'!$J$12:$J$31,0),MATCH(D84,'App-Click Conversion by Rank'!$K$11:$S$11,0))</f>
        <v>2.0504113882721692E-2</v>
      </c>
      <c r="G84" s="3">
        <f t="shared" si="7"/>
        <v>2.0504113882721692E-2</v>
      </c>
      <c r="H84" s="5">
        <f t="shared" si="8"/>
        <v>0.10252056941360846</v>
      </c>
      <c r="I84">
        <f t="shared" si="9"/>
        <v>5</v>
      </c>
    </row>
    <row r="85" spans="1:9" x14ac:dyDescent="0.45">
      <c r="A85">
        <v>8</v>
      </c>
      <c r="B85">
        <v>500</v>
      </c>
      <c r="C85">
        <v>921</v>
      </c>
      <c r="D85">
        <f t="shared" si="5"/>
        <v>500</v>
      </c>
      <c r="E85">
        <f t="shared" si="6"/>
        <v>8</v>
      </c>
      <c r="F85" s="1">
        <f>INDEX('App-Click Conversion by Rank'!$K$12:$S$31,MATCH(E85,'App-Click Conversion by Rank'!$J$12:$J$31,0),MATCH(D85,'App-Click Conversion by Rank'!$K$11:$S$11,0))</f>
        <v>9.114719748559456E-3</v>
      </c>
      <c r="G85" s="3">
        <f t="shared" si="7"/>
        <v>8.3946568884232597</v>
      </c>
      <c r="H85" s="5">
        <f t="shared" si="8"/>
        <v>67.157255107386078</v>
      </c>
      <c r="I85">
        <f t="shared" si="9"/>
        <v>7368</v>
      </c>
    </row>
    <row r="86" spans="1:9" x14ac:dyDescent="0.45">
      <c r="A86">
        <v>8</v>
      </c>
      <c r="B86">
        <v>550</v>
      </c>
      <c r="C86">
        <v>263</v>
      </c>
      <c r="D86" t="str">
        <f t="shared" si="5"/>
        <v>501+</v>
      </c>
      <c r="E86">
        <f t="shared" si="6"/>
        <v>8</v>
      </c>
      <c r="F86" s="1">
        <f>INDEX('App-Click Conversion by Rank'!$K$12:$S$31,MATCH(E86,'App-Click Conversion by Rank'!$J$12:$J$31,0),MATCH(D86,'App-Click Conversion by Rank'!$K$11:$S$11,0))</f>
        <v>1.0399562123700055E-2</v>
      </c>
      <c r="G86" s="3">
        <f t="shared" si="7"/>
        <v>2.7350848385331146</v>
      </c>
      <c r="H86" s="5">
        <f t="shared" si="8"/>
        <v>21.880678708264917</v>
      </c>
      <c r="I86">
        <f t="shared" si="9"/>
        <v>2104</v>
      </c>
    </row>
    <row r="87" spans="1:9" x14ac:dyDescent="0.45">
      <c r="A87">
        <v>3</v>
      </c>
      <c r="B87">
        <v>550</v>
      </c>
      <c r="C87">
        <v>250</v>
      </c>
      <c r="D87" t="str">
        <f t="shared" si="5"/>
        <v>501+</v>
      </c>
      <c r="E87">
        <f t="shared" si="6"/>
        <v>3</v>
      </c>
      <c r="F87" s="1">
        <f>INDEX('App-Click Conversion by Rank'!$K$12:$S$31,MATCH(E87,'App-Click Conversion by Rank'!$J$12:$J$31,0),MATCH(D87,'App-Click Conversion by Rank'!$K$11:$S$11,0))</f>
        <v>4.4627885979620793E-2</v>
      </c>
      <c r="G87" s="3">
        <f t="shared" si="7"/>
        <v>11.156971494905198</v>
      </c>
      <c r="H87" s="5">
        <f t="shared" si="8"/>
        <v>33.470914484715593</v>
      </c>
      <c r="I87">
        <f t="shared" si="9"/>
        <v>750</v>
      </c>
    </row>
    <row r="88" spans="1:9" x14ac:dyDescent="0.45">
      <c r="A88">
        <v>10</v>
      </c>
      <c r="B88">
        <v>550</v>
      </c>
      <c r="C88">
        <v>484</v>
      </c>
      <c r="D88" t="str">
        <f t="shared" si="5"/>
        <v>501+</v>
      </c>
      <c r="E88">
        <f t="shared" si="6"/>
        <v>10</v>
      </c>
      <c r="F88" s="1">
        <f>INDEX('App-Click Conversion by Rank'!$K$12:$S$31,MATCH(E88,'App-Click Conversion by Rank'!$J$12:$J$31,0),MATCH(D88,'App-Click Conversion by Rank'!$K$11:$S$11,0))</f>
        <v>7.1592210767468497E-3</v>
      </c>
      <c r="G88" s="3">
        <f t="shared" si="7"/>
        <v>3.4650630011454751</v>
      </c>
      <c r="H88" s="5">
        <f t="shared" si="8"/>
        <v>34.650630011454751</v>
      </c>
      <c r="I88">
        <f t="shared" si="9"/>
        <v>4840</v>
      </c>
    </row>
    <row r="89" spans="1:9" x14ac:dyDescent="0.45">
      <c r="A89">
        <v>16</v>
      </c>
      <c r="B89">
        <v>500</v>
      </c>
      <c r="C89">
        <v>48</v>
      </c>
      <c r="D89">
        <f t="shared" si="5"/>
        <v>500</v>
      </c>
      <c r="E89">
        <f t="shared" si="6"/>
        <v>16</v>
      </c>
      <c r="F89" s="1">
        <f>INDEX('App-Click Conversion by Rank'!$K$12:$S$31,MATCH(E89,'App-Click Conversion by Rank'!$J$12:$J$31,0),MATCH(D89,'App-Click Conversion by Rank'!$K$11:$S$11,0))</f>
        <v>2.9247910863509749E-3</v>
      </c>
      <c r="G89" s="3">
        <f t="shared" si="7"/>
        <v>0.1403899721448468</v>
      </c>
      <c r="H89" s="5">
        <f t="shared" si="8"/>
        <v>2.2462395543175488</v>
      </c>
      <c r="I89">
        <f t="shared" si="9"/>
        <v>768</v>
      </c>
    </row>
    <row r="90" spans="1:9" x14ac:dyDescent="0.45">
      <c r="A90">
        <v>7</v>
      </c>
      <c r="B90">
        <v>250</v>
      </c>
      <c r="C90">
        <v>38</v>
      </c>
      <c r="D90">
        <f t="shared" si="5"/>
        <v>250</v>
      </c>
      <c r="E90">
        <f t="shared" si="6"/>
        <v>7</v>
      </c>
      <c r="F90" s="1">
        <f>INDEX('App-Click Conversion by Rank'!$K$12:$S$31,MATCH(E90,'App-Click Conversion by Rank'!$J$12:$J$31,0),MATCH(D90,'App-Click Conversion by Rank'!$K$11:$S$11,0))</f>
        <v>3.7137069547602972E-2</v>
      </c>
      <c r="G90" s="3">
        <f t="shared" si="7"/>
        <v>1.411208642808913</v>
      </c>
      <c r="H90" s="5">
        <f t="shared" si="8"/>
        <v>9.8784604996623919</v>
      </c>
      <c r="I90">
        <f t="shared" si="9"/>
        <v>266</v>
      </c>
    </row>
    <row r="91" spans="1:9" x14ac:dyDescent="0.45">
      <c r="A91">
        <v>4</v>
      </c>
      <c r="B91">
        <v>250</v>
      </c>
      <c r="C91">
        <v>29</v>
      </c>
      <c r="D91">
        <f t="shared" si="5"/>
        <v>250</v>
      </c>
      <c r="E91">
        <f t="shared" si="6"/>
        <v>4</v>
      </c>
      <c r="F91" s="1">
        <f>INDEX('App-Click Conversion by Rank'!$K$12:$S$31,MATCH(E91,'App-Click Conversion by Rank'!$J$12:$J$31,0),MATCH(D91,'App-Click Conversion by Rank'!$K$11:$S$11,0))</f>
        <v>6.9376693766937669E-2</v>
      </c>
      <c r="G91" s="3">
        <f t="shared" si="7"/>
        <v>2.0119241192411925</v>
      </c>
      <c r="H91" s="5">
        <f t="shared" si="8"/>
        <v>8.0476964769647701</v>
      </c>
      <c r="I91">
        <f t="shared" si="9"/>
        <v>116</v>
      </c>
    </row>
    <row r="92" spans="1:9" x14ac:dyDescent="0.45">
      <c r="A92">
        <v>1</v>
      </c>
      <c r="B92">
        <v>400</v>
      </c>
      <c r="C92">
        <v>73</v>
      </c>
      <c r="D92">
        <f t="shared" si="5"/>
        <v>400</v>
      </c>
      <c r="E92">
        <f t="shared" si="6"/>
        <v>1</v>
      </c>
      <c r="F92" s="1">
        <f>INDEX('App-Click Conversion by Rank'!$K$12:$S$31,MATCH(E92,'App-Click Conversion by Rank'!$J$12:$J$31,0),MATCH(D92,'App-Click Conversion by Rank'!$K$11:$S$11,0))</f>
        <v>0.18873271367036953</v>
      </c>
      <c r="G92" s="3">
        <f t="shared" si="7"/>
        <v>13.777488097936976</v>
      </c>
      <c r="H92" s="5">
        <f t="shared" si="8"/>
        <v>13.777488097936976</v>
      </c>
      <c r="I92">
        <f t="shared" si="9"/>
        <v>73</v>
      </c>
    </row>
    <row r="93" spans="1:9" x14ac:dyDescent="0.45">
      <c r="A93">
        <v>12</v>
      </c>
      <c r="B93">
        <v>300</v>
      </c>
      <c r="C93">
        <v>12</v>
      </c>
      <c r="D93">
        <f t="shared" si="5"/>
        <v>300</v>
      </c>
      <c r="E93">
        <f t="shared" si="6"/>
        <v>12</v>
      </c>
      <c r="F93" s="1">
        <f>INDEX('App-Click Conversion by Rank'!$K$12:$S$31,MATCH(E93,'App-Click Conversion by Rank'!$J$12:$J$31,0),MATCH(D93,'App-Click Conversion by Rank'!$K$11:$S$11,0))</f>
        <v>1.4763014763014764E-2</v>
      </c>
      <c r="G93" s="3">
        <f t="shared" si="7"/>
        <v>0.17715617715617715</v>
      </c>
      <c r="H93" s="5">
        <f t="shared" si="8"/>
        <v>2.1258741258741258</v>
      </c>
      <c r="I93">
        <f t="shared" si="9"/>
        <v>144</v>
      </c>
    </row>
    <row r="94" spans="1:9" x14ac:dyDescent="0.45">
      <c r="A94">
        <v>12</v>
      </c>
      <c r="B94">
        <v>350</v>
      </c>
      <c r="C94">
        <v>39</v>
      </c>
      <c r="D94">
        <f t="shared" si="5"/>
        <v>350</v>
      </c>
      <c r="E94">
        <f t="shared" si="6"/>
        <v>12</v>
      </c>
      <c r="F94" s="1">
        <f>INDEX('App-Click Conversion by Rank'!$K$12:$S$31,MATCH(E94,'App-Click Conversion by Rank'!$J$12:$J$31,0),MATCH(D94,'App-Click Conversion by Rank'!$K$11:$S$11,0))</f>
        <v>7.4384007438400741E-3</v>
      </c>
      <c r="G94" s="3">
        <f t="shared" si="7"/>
        <v>0.29009762900976288</v>
      </c>
      <c r="H94" s="5">
        <f t="shared" si="8"/>
        <v>3.4811715481171546</v>
      </c>
      <c r="I94">
        <f t="shared" si="9"/>
        <v>468</v>
      </c>
    </row>
    <row r="95" spans="1:9" x14ac:dyDescent="0.45">
      <c r="A95">
        <v>25</v>
      </c>
      <c r="B95">
        <v>500</v>
      </c>
      <c r="C95">
        <v>6</v>
      </c>
      <c r="D95">
        <f t="shared" si="5"/>
        <v>500</v>
      </c>
      <c r="E95" t="str">
        <f t="shared" si="6"/>
        <v>20+</v>
      </c>
      <c r="F95" s="1">
        <f>INDEX('App-Click Conversion by Rank'!$K$12:$S$31,MATCH(E95,'App-Click Conversion by Rank'!$J$12:$J$31,0),MATCH(D95,'App-Click Conversion by Rank'!$K$11:$S$11,0))</f>
        <v>5.1121544079290558E-3</v>
      </c>
      <c r="G95" s="3">
        <f t="shared" si="7"/>
        <v>3.0672926447574335E-2</v>
      </c>
      <c r="H95" s="5">
        <f t="shared" si="8"/>
        <v>0.76682316118935834</v>
      </c>
      <c r="I95">
        <f t="shared" si="9"/>
        <v>150</v>
      </c>
    </row>
    <row r="96" spans="1:9" x14ac:dyDescent="0.45">
      <c r="A96">
        <v>2</v>
      </c>
      <c r="B96">
        <v>250</v>
      </c>
      <c r="C96">
        <v>19</v>
      </c>
      <c r="D96">
        <f t="shared" si="5"/>
        <v>250</v>
      </c>
      <c r="E96">
        <f t="shared" si="6"/>
        <v>2</v>
      </c>
      <c r="F96" s="1">
        <f>INDEX('App-Click Conversion by Rank'!$K$12:$S$31,MATCH(E96,'App-Click Conversion by Rank'!$J$12:$J$31,0),MATCH(D96,'App-Click Conversion by Rank'!$K$11:$S$11,0))</f>
        <v>0.1417883861774136</v>
      </c>
      <c r="G96" s="3">
        <f t="shared" si="7"/>
        <v>2.6939793373708585</v>
      </c>
      <c r="H96" s="5">
        <f t="shared" si="8"/>
        <v>5.387958674741717</v>
      </c>
      <c r="I96">
        <f t="shared" si="9"/>
        <v>38</v>
      </c>
    </row>
    <row r="97" spans="1:9" x14ac:dyDescent="0.45">
      <c r="A97">
        <v>11</v>
      </c>
      <c r="B97">
        <v>700</v>
      </c>
      <c r="C97">
        <v>1</v>
      </c>
      <c r="D97" t="str">
        <f t="shared" si="5"/>
        <v>501+</v>
      </c>
      <c r="E97">
        <f t="shared" si="6"/>
        <v>11</v>
      </c>
      <c r="F97" s="1">
        <f>INDEX('App-Click Conversion by Rank'!$K$12:$S$31,MATCH(E97,'App-Click Conversion by Rank'!$J$12:$J$31,0),MATCH(D97,'App-Click Conversion by Rank'!$K$11:$S$11,0))</f>
        <v>7.0175438596491229E-3</v>
      </c>
      <c r="G97" s="3">
        <f t="shared" si="7"/>
        <v>7.0175438596491229E-3</v>
      </c>
      <c r="H97" s="5">
        <f t="shared" si="8"/>
        <v>7.7192982456140355E-2</v>
      </c>
      <c r="I97">
        <f t="shared" si="9"/>
        <v>11</v>
      </c>
    </row>
    <row r="98" spans="1:9" x14ac:dyDescent="0.45">
      <c r="A98">
        <v>15</v>
      </c>
      <c r="B98">
        <v>400</v>
      </c>
      <c r="C98">
        <v>10</v>
      </c>
      <c r="D98">
        <f t="shared" si="5"/>
        <v>400</v>
      </c>
      <c r="E98">
        <f t="shared" si="6"/>
        <v>15</v>
      </c>
      <c r="F98" s="1">
        <f>INDEX('App-Click Conversion by Rank'!$K$12:$S$31,MATCH(E98,'App-Click Conversion by Rank'!$J$12:$J$31,0),MATCH(D98,'App-Click Conversion by Rank'!$K$11:$S$11,0))</f>
        <v>3.6764705882352941E-3</v>
      </c>
      <c r="G98" s="3">
        <f t="shared" si="7"/>
        <v>3.6764705882352942E-2</v>
      </c>
      <c r="H98" s="5">
        <f t="shared" si="8"/>
        <v>0.55147058823529416</v>
      </c>
      <c r="I98">
        <f t="shared" si="9"/>
        <v>150</v>
      </c>
    </row>
    <row r="99" spans="1:9" x14ac:dyDescent="0.45">
      <c r="A99">
        <v>18</v>
      </c>
      <c r="B99">
        <v>600</v>
      </c>
      <c r="C99">
        <v>8</v>
      </c>
      <c r="D99" t="str">
        <f t="shared" si="5"/>
        <v>501+</v>
      </c>
      <c r="E99">
        <f t="shared" si="6"/>
        <v>18</v>
      </c>
      <c r="F99" s="1">
        <f>INDEX('App-Click Conversion by Rank'!$K$12:$S$31,MATCH(E99,'App-Click Conversion by Rank'!$J$12:$J$31,0),MATCH(D99,'App-Click Conversion by Rank'!$K$11:$S$11,0))</f>
        <v>2.0408163265306124E-3</v>
      </c>
      <c r="G99" s="3">
        <f t="shared" si="7"/>
        <v>1.6326530612244899E-2</v>
      </c>
      <c r="H99" s="5">
        <f t="shared" si="8"/>
        <v>0.29387755102040819</v>
      </c>
      <c r="I99">
        <f t="shared" si="9"/>
        <v>144</v>
      </c>
    </row>
    <row r="100" spans="1:9" x14ac:dyDescent="0.45">
      <c r="A100">
        <v>22</v>
      </c>
      <c r="B100">
        <v>500</v>
      </c>
      <c r="C100">
        <v>8</v>
      </c>
      <c r="D100">
        <f t="shared" si="5"/>
        <v>500</v>
      </c>
      <c r="E100" t="str">
        <f t="shared" si="6"/>
        <v>20+</v>
      </c>
      <c r="F100" s="1">
        <f>INDEX('App-Click Conversion by Rank'!$K$12:$S$31,MATCH(E100,'App-Click Conversion by Rank'!$J$12:$J$31,0),MATCH(D100,'App-Click Conversion by Rank'!$K$11:$S$11,0))</f>
        <v>5.1121544079290558E-3</v>
      </c>
      <c r="G100" s="3">
        <f t="shared" si="7"/>
        <v>4.0897235263432447E-2</v>
      </c>
      <c r="H100" s="5">
        <f t="shared" si="8"/>
        <v>0.89973917579551377</v>
      </c>
      <c r="I100">
        <f t="shared" si="9"/>
        <v>176</v>
      </c>
    </row>
    <row r="101" spans="1:9" x14ac:dyDescent="0.45">
      <c r="A101">
        <v>13</v>
      </c>
      <c r="B101">
        <v>650</v>
      </c>
      <c r="C101">
        <v>8</v>
      </c>
      <c r="D101" t="str">
        <f t="shared" si="5"/>
        <v>501+</v>
      </c>
      <c r="E101">
        <f t="shared" si="6"/>
        <v>13</v>
      </c>
      <c r="F101" s="1">
        <f>INDEX('App-Click Conversion by Rank'!$K$12:$S$31,MATCH(E101,'App-Click Conversion by Rank'!$J$12:$J$31,0),MATCH(D101,'App-Click Conversion by Rank'!$K$11:$S$11,0))</f>
        <v>3.8179596823457542E-3</v>
      </c>
      <c r="G101" s="3">
        <f t="shared" si="7"/>
        <v>3.0543677458766034E-2</v>
      </c>
      <c r="H101" s="5">
        <f t="shared" si="8"/>
        <v>0.39706780696395844</v>
      </c>
      <c r="I101">
        <f t="shared" si="9"/>
        <v>104</v>
      </c>
    </row>
    <row r="102" spans="1:9" x14ac:dyDescent="0.45">
      <c r="A102">
        <v>9</v>
      </c>
      <c r="B102">
        <v>200</v>
      </c>
      <c r="C102">
        <v>8</v>
      </c>
      <c r="D102">
        <f t="shared" si="5"/>
        <v>200</v>
      </c>
      <c r="E102">
        <f t="shared" si="6"/>
        <v>9</v>
      </c>
      <c r="F102" s="1">
        <f>INDEX('App-Click Conversion by Rank'!$K$12:$S$31,MATCH(E102,'App-Click Conversion by Rank'!$J$12:$J$31,0),MATCH(D102,'App-Click Conversion by Rank'!$K$11:$S$11,0))</f>
        <v>1.7595307917888565E-2</v>
      </c>
      <c r="G102" s="3">
        <f t="shared" si="7"/>
        <v>0.14076246334310852</v>
      </c>
      <c r="H102" s="5">
        <f t="shared" si="8"/>
        <v>1.2668621700879767</v>
      </c>
      <c r="I102">
        <f t="shared" si="9"/>
        <v>72</v>
      </c>
    </row>
    <row r="103" spans="1:9" x14ac:dyDescent="0.45">
      <c r="A103">
        <v>2</v>
      </c>
      <c r="B103">
        <v>50</v>
      </c>
      <c r="C103">
        <v>1</v>
      </c>
      <c r="D103" t="str">
        <f t="shared" si="5"/>
        <v>&lt;=150</v>
      </c>
      <c r="E103">
        <f t="shared" si="6"/>
        <v>2</v>
      </c>
      <c r="F103" s="1">
        <f>INDEX('App-Click Conversion by Rank'!$K$12:$S$31,MATCH(E103,'App-Click Conversion by Rank'!$J$12:$J$31,0),MATCH(D103,'App-Click Conversion by Rank'!$K$11:$S$11,0))</f>
        <v>0.14536340852130325</v>
      </c>
      <c r="G103" s="3">
        <f t="shared" si="7"/>
        <v>0.14536340852130325</v>
      </c>
      <c r="H103" s="5">
        <f t="shared" si="8"/>
        <v>0.2907268170426065</v>
      </c>
      <c r="I103">
        <f t="shared" si="9"/>
        <v>2</v>
      </c>
    </row>
    <row r="104" spans="1:9" x14ac:dyDescent="0.45">
      <c r="A104">
        <v>18</v>
      </c>
      <c r="B104">
        <v>350</v>
      </c>
      <c r="C104">
        <v>1</v>
      </c>
      <c r="D104">
        <f t="shared" si="5"/>
        <v>350</v>
      </c>
      <c r="E104">
        <f t="shared" si="6"/>
        <v>18</v>
      </c>
      <c r="F104" s="1">
        <f>INDEX('App-Click Conversion by Rank'!$K$12:$S$31,MATCH(E104,'App-Click Conversion by Rank'!$J$12:$J$31,0),MATCH(D104,'App-Click Conversion by Rank'!$K$11:$S$11,0))</f>
        <v>2.859866539561487E-3</v>
      </c>
      <c r="G104" s="3">
        <f t="shared" si="7"/>
        <v>2.859866539561487E-3</v>
      </c>
      <c r="H104" s="5">
        <f t="shared" si="8"/>
        <v>5.1477597712106769E-2</v>
      </c>
      <c r="I104">
        <f t="shared" si="9"/>
        <v>18</v>
      </c>
    </row>
    <row r="105" spans="1:9" x14ac:dyDescent="0.45">
      <c r="A105">
        <v>4</v>
      </c>
      <c r="B105">
        <v>200</v>
      </c>
      <c r="C105">
        <v>2</v>
      </c>
      <c r="D105">
        <f t="shared" si="5"/>
        <v>200</v>
      </c>
      <c r="E105">
        <f t="shared" si="6"/>
        <v>4</v>
      </c>
      <c r="F105" s="1">
        <f>INDEX('App-Click Conversion by Rank'!$K$12:$S$31,MATCH(E105,'App-Click Conversion by Rank'!$J$12:$J$31,0),MATCH(D105,'App-Click Conversion by Rank'!$K$11:$S$11,0))</f>
        <v>0.10109289617486339</v>
      </c>
      <c r="G105" s="3">
        <f t="shared" si="7"/>
        <v>0.20218579234972678</v>
      </c>
      <c r="H105" s="5">
        <f t="shared" si="8"/>
        <v>0.80874316939890711</v>
      </c>
      <c r="I105">
        <f t="shared" si="9"/>
        <v>8</v>
      </c>
    </row>
    <row r="106" spans="1:9" x14ac:dyDescent="0.45">
      <c r="A106">
        <v>24</v>
      </c>
      <c r="B106">
        <v>450</v>
      </c>
      <c r="C106">
        <v>3</v>
      </c>
      <c r="D106">
        <f t="shared" si="5"/>
        <v>450</v>
      </c>
      <c r="E106" t="str">
        <f t="shared" si="6"/>
        <v>20+</v>
      </c>
      <c r="F106" s="1">
        <f>INDEX('App-Click Conversion by Rank'!$K$12:$S$31,MATCH(E106,'App-Click Conversion by Rank'!$J$12:$J$31,0),MATCH(D106,'App-Click Conversion by Rank'!$K$11:$S$11,0))</f>
        <v>5.6022408963585435E-3</v>
      </c>
      <c r="G106" s="3">
        <f t="shared" si="7"/>
        <v>1.680672268907563E-2</v>
      </c>
      <c r="H106" s="5">
        <f t="shared" si="8"/>
        <v>0.40336134453781514</v>
      </c>
      <c r="I106">
        <f t="shared" si="9"/>
        <v>72</v>
      </c>
    </row>
    <row r="107" spans="1:9" x14ac:dyDescent="0.45">
      <c r="A107">
        <v>31</v>
      </c>
      <c r="B107">
        <v>500</v>
      </c>
      <c r="C107">
        <v>2</v>
      </c>
      <c r="D107">
        <f t="shared" si="5"/>
        <v>500</v>
      </c>
      <c r="E107" t="str">
        <f t="shared" si="6"/>
        <v>20+</v>
      </c>
      <c r="F107" s="1">
        <f>INDEX('App-Click Conversion by Rank'!$K$12:$S$31,MATCH(E107,'App-Click Conversion by Rank'!$J$12:$J$31,0),MATCH(D107,'App-Click Conversion by Rank'!$K$11:$S$11,0))</f>
        <v>5.1121544079290558E-3</v>
      </c>
      <c r="G107" s="3">
        <f t="shared" si="7"/>
        <v>1.0224308815858112E-2</v>
      </c>
      <c r="H107" s="5">
        <f t="shared" si="8"/>
        <v>0.31695357329160145</v>
      </c>
      <c r="I107">
        <f t="shared" si="9"/>
        <v>62</v>
      </c>
    </row>
    <row r="108" spans="1:9" x14ac:dyDescent="0.45">
      <c r="A108">
        <v>2</v>
      </c>
      <c r="B108">
        <v>200</v>
      </c>
      <c r="C108">
        <v>7</v>
      </c>
      <c r="D108">
        <f t="shared" si="5"/>
        <v>200</v>
      </c>
      <c r="E108">
        <f t="shared" si="6"/>
        <v>2</v>
      </c>
      <c r="F108" s="1">
        <f>INDEX('App-Click Conversion by Rank'!$K$12:$S$31,MATCH(E108,'App-Click Conversion by Rank'!$J$12:$J$31,0),MATCH(D108,'App-Click Conversion by Rank'!$K$11:$S$11,0))</f>
        <v>0.13572679509632224</v>
      </c>
      <c r="G108" s="3">
        <f t="shared" si="7"/>
        <v>0.95008756567425567</v>
      </c>
      <c r="H108" s="5">
        <f t="shared" si="8"/>
        <v>1.9001751313485113</v>
      </c>
      <c r="I108">
        <f t="shared" si="9"/>
        <v>14</v>
      </c>
    </row>
    <row r="109" spans="1:9" x14ac:dyDescent="0.45">
      <c r="A109">
        <v>34</v>
      </c>
      <c r="B109">
        <v>550</v>
      </c>
      <c r="C109">
        <v>1</v>
      </c>
      <c r="D109" t="str">
        <f t="shared" si="5"/>
        <v>501+</v>
      </c>
      <c r="E109" t="str">
        <f t="shared" si="6"/>
        <v>20+</v>
      </c>
      <c r="F109" s="1">
        <f>INDEX('App-Click Conversion by Rank'!$K$12:$S$31,MATCH(E109,'App-Click Conversion by Rank'!$J$12:$J$31,0),MATCH(D109,'App-Click Conversion by Rank'!$K$11:$S$11,0))</f>
        <v>5.9893958237873931E-3</v>
      </c>
      <c r="G109" s="3">
        <f t="shared" si="7"/>
        <v>5.9893958237873931E-3</v>
      </c>
      <c r="H109" s="5">
        <f t="shared" si="8"/>
        <v>0.20363945800877137</v>
      </c>
      <c r="I109">
        <f t="shared" si="9"/>
        <v>34</v>
      </c>
    </row>
    <row r="110" spans="1:9" x14ac:dyDescent="0.45">
      <c r="A110">
        <v>32</v>
      </c>
      <c r="B110">
        <v>450</v>
      </c>
      <c r="C110">
        <v>1</v>
      </c>
      <c r="D110">
        <f t="shared" si="5"/>
        <v>450</v>
      </c>
      <c r="E110" t="str">
        <f t="shared" si="6"/>
        <v>20+</v>
      </c>
      <c r="F110" s="1">
        <f>INDEX('App-Click Conversion by Rank'!$K$12:$S$31,MATCH(E110,'App-Click Conversion by Rank'!$J$12:$J$31,0),MATCH(D110,'App-Click Conversion by Rank'!$K$11:$S$11,0))</f>
        <v>5.6022408963585435E-3</v>
      </c>
      <c r="G110" s="3">
        <f t="shared" si="7"/>
        <v>5.6022408963585435E-3</v>
      </c>
      <c r="H110" s="5">
        <f t="shared" si="8"/>
        <v>0.17927170868347339</v>
      </c>
      <c r="I110">
        <f t="shared" si="9"/>
        <v>32</v>
      </c>
    </row>
    <row r="111" spans="1:9" x14ac:dyDescent="0.45">
      <c r="A111">
        <v>30</v>
      </c>
      <c r="B111">
        <v>400</v>
      </c>
      <c r="C111">
        <v>1</v>
      </c>
      <c r="D111">
        <f t="shared" si="5"/>
        <v>400</v>
      </c>
      <c r="E111" t="str">
        <f t="shared" si="6"/>
        <v>20+</v>
      </c>
      <c r="F111" s="1">
        <f>INDEX('App-Click Conversion by Rank'!$K$12:$S$31,MATCH(E111,'App-Click Conversion by Rank'!$J$12:$J$31,0),MATCH(D111,'App-Click Conversion by Rank'!$K$11:$S$11,0))</f>
        <v>6.4196625091709463E-3</v>
      </c>
      <c r="G111" s="3">
        <f t="shared" si="7"/>
        <v>6.4196625091709463E-3</v>
      </c>
      <c r="H111" s="5">
        <f t="shared" si="8"/>
        <v>0.19258987527512839</v>
      </c>
      <c r="I111">
        <f t="shared" si="9"/>
        <v>30</v>
      </c>
    </row>
    <row r="112" spans="1:9" x14ac:dyDescent="0.45">
      <c r="A112">
        <v>11</v>
      </c>
      <c r="B112">
        <v>200</v>
      </c>
      <c r="C112">
        <v>1</v>
      </c>
      <c r="D112">
        <f t="shared" si="5"/>
        <v>200</v>
      </c>
      <c r="E112">
        <f t="shared" si="6"/>
        <v>11</v>
      </c>
      <c r="F112" s="1">
        <f>INDEX('App-Click Conversion by Rank'!$K$12:$S$31,MATCH(E112,'App-Click Conversion by Rank'!$J$12:$J$31,0),MATCH(D112,'App-Click Conversion by Rank'!$K$11:$S$11,0))</f>
        <v>1.8433179723502304E-2</v>
      </c>
      <c r="G112" s="3">
        <f t="shared" si="7"/>
        <v>1.8433179723502304E-2</v>
      </c>
      <c r="H112" s="5">
        <f t="shared" si="8"/>
        <v>0.20276497695852536</v>
      </c>
      <c r="I112">
        <f t="shared" si="9"/>
        <v>11</v>
      </c>
    </row>
    <row r="113" spans="1:9" x14ac:dyDescent="0.45">
      <c r="A113">
        <v>5</v>
      </c>
      <c r="B113">
        <v>500</v>
      </c>
      <c r="C113">
        <v>278</v>
      </c>
      <c r="D113">
        <f t="shared" si="5"/>
        <v>500</v>
      </c>
      <c r="E113">
        <f t="shared" si="6"/>
        <v>5</v>
      </c>
      <c r="F113" s="1">
        <f>INDEX('App-Click Conversion by Rank'!$K$12:$S$31,MATCH(E113,'App-Click Conversion by Rank'!$J$12:$J$31,0),MATCH(D113,'App-Click Conversion by Rank'!$K$11:$S$11,0))</f>
        <v>2.3398058252427186E-2</v>
      </c>
      <c r="G113" s="3">
        <f t="shared" si="7"/>
        <v>6.5046601941747575</v>
      </c>
      <c r="H113" s="5">
        <f t="shared" si="8"/>
        <v>32.523300970873791</v>
      </c>
      <c r="I113">
        <f t="shared" si="9"/>
        <v>1390</v>
      </c>
    </row>
    <row r="114" spans="1:9" x14ac:dyDescent="0.45">
      <c r="A114">
        <v>8</v>
      </c>
      <c r="B114">
        <v>450</v>
      </c>
      <c r="C114">
        <v>376</v>
      </c>
      <c r="D114">
        <f t="shared" si="5"/>
        <v>450</v>
      </c>
      <c r="E114">
        <f t="shared" si="6"/>
        <v>8</v>
      </c>
      <c r="F114" s="1">
        <f>INDEX('App-Click Conversion by Rank'!$K$12:$S$31,MATCH(E114,'App-Click Conversion by Rank'!$J$12:$J$31,0),MATCH(D114,'App-Click Conversion by Rank'!$K$11:$S$11,0))</f>
        <v>9.3508605502100554E-3</v>
      </c>
      <c r="G114" s="3">
        <f t="shared" si="7"/>
        <v>3.515923566878981</v>
      </c>
      <c r="H114" s="5">
        <f t="shared" si="8"/>
        <v>28.127388535031848</v>
      </c>
      <c r="I114">
        <f t="shared" si="9"/>
        <v>3008</v>
      </c>
    </row>
    <row r="115" spans="1:9" x14ac:dyDescent="0.45">
      <c r="A115">
        <v>14</v>
      </c>
      <c r="B115">
        <v>350</v>
      </c>
      <c r="C115">
        <v>19</v>
      </c>
      <c r="D115">
        <f t="shared" si="5"/>
        <v>350</v>
      </c>
      <c r="E115">
        <f t="shared" si="6"/>
        <v>14</v>
      </c>
      <c r="F115" s="1">
        <f>INDEX('App-Click Conversion by Rank'!$K$12:$S$31,MATCH(E115,'App-Click Conversion by Rank'!$J$12:$J$31,0),MATCH(D115,'App-Click Conversion by Rank'!$K$11:$S$11,0))</f>
        <v>2.4257125530624622E-3</v>
      </c>
      <c r="G115" s="3">
        <f t="shared" si="7"/>
        <v>4.6088538508186783E-2</v>
      </c>
      <c r="H115" s="5">
        <f t="shared" si="8"/>
        <v>0.64523953911461496</v>
      </c>
      <c r="I115">
        <f t="shared" si="9"/>
        <v>266</v>
      </c>
    </row>
    <row r="116" spans="1:9" x14ac:dyDescent="0.45">
      <c r="A116">
        <v>1</v>
      </c>
      <c r="B116">
        <v>500</v>
      </c>
      <c r="C116">
        <v>62</v>
      </c>
      <c r="D116">
        <f t="shared" si="5"/>
        <v>500</v>
      </c>
      <c r="E116">
        <f t="shared" si="6"/>
        <v>1</v>
      </c>
      <c r="F116" s="1">
        <f>INDEX('App-Click Conversion by Rank'!$K$12:$S$31,MATCH(E116,'App-Click Conversion by Rank'!$J$12:$J$31,0),MATCH(D116,'App-Click Conversion by Rank'!$K$11:$S$11,0))</f>
        <v>0.14095071958133448</v>
      </c>
      <c r="G116" s="3">
        <f t="shared" si="7"/>
        <v>8.7389446140427385</v>
      </c>
      <c r="H116" s="5">
        <f t="shared" si="8"/>
        <v>8.7389446140427385</v>
      </c>
      <c r="I116">
        <f t="shared" si="9"/>
        <v>62</v>
      </c>
    </row>
    <row r="117" spans="1:9" x14ac:dyDescent="0.45">
      <c r="A117">
        <v>22</v>
      </c>
      <c r="B117">
        <v>550</v>
      </c>
      <c r="C117">
        <v>6</v>
      </c>
      <c r="D117" t="str">
        <f t="shared" si="5"/>
        <v>501+</v>
      </c>
      <c r="E117" t="str">
        <f t="shared" si="6"/>
        <v>20+</v>
      </c>
      <c r="F117" s="1">
        <f>INDEX('App-Click Conversion by Rank'!$K$12:$S$31,MATCH(E117,'App-Click Conversion by Rank'!$J$12:$J$31,0),MATCH(D117,'App-Click Conversion by Rank'!$K$11:$S$11,0))</f>
        <v>5.9893958237873931E-3</v>
      </c>
      <c r="G117" s="3">
        <f t="shared" si="7"/>
        <v>3.5936374942724357E-2</v>
      </c>
      <c r="H117" s="5">
        <f t="shared" si="8"/>
        <v>0.79060024873993584</v>
      </c>
      <c r="I117">
        <f t="shared" si="9"/>
        <v>132</v>
      </c>
    </row>
    <row r="118" spans="1:9" x14ac:dyDescent="0.45">
      <c r="A118">
        <v>6</v>
      </c>
      <c r="B118">
        <v>250</v>
      </c>
      <c r="C118">
        <v>75</v>
      </c>
      <c r="D118">
        <f t="shared" si="5"/>
        <v>250</v>
      </c>
      <c r="E118">
        <f t="shared" si="6"/>
        <v>6</v>
      </c>
      <c r="F118" s="1">
        <f>INDEX('App-Click Conversion by Rank'!$K$12:$S$31,MATCH(E118,'App-Click Conversion by Rank'!$J$12:$J$31,0),MATCH(D118,'App-Click Conversion by Rank'!$K$11:$S$11,0))</f>
        <v>4.0523690773067333E-2</v>
      </c>
      <c r="G118" s="3">
        <f t="shared" si="7"/>
        <v>3.0392768079800501</v>
      </c>
      <c r="H118" s="5">
        <f t="shared" si="8"/>
        <v>18.2356608478803</v>
      </c>
      <c r="I118">
        <f t="shared" si="9"/>
        <v>450</v>
      </c>
    </row>
    <row r="119" spans="1:9" x14ac:dyDescent="0.45">
      <c r="A119">
        <v>9</v>
      </c>
      <c r="B119">
        <v>250</v>
      </c>
      <c r="C119">
        <v>7</v>
      </c>
      <c r="D119">
        <f t="shared" si="5"/>
        <v>250</v>
      </c>
      <c r="E119">
        <f t="shared" si="6"/>
        <v>9</v>
      </c>
      <c r="F119" s="1">
        <f>INDEX('App-Click Conversion by Rank'!$K$12:$S$31,MATCH(E119,'App-Click Conversion by Rank'!$J$12:$J$31,0),MATCH(D119,'App-Click Conversion by Rank'!$K$11:$S$11,0))</f>
        <v>1.7475728155339806E-2</v>
      </c>
      <c r="G119" s="3">
        <f t="shared" si="7"/>
        <v>0.12233009708737864</v>
      </c>
      <c r="H119" s="5">
        <f t="shared" si="8"/>
        <v>1.1009708737864079</v>
      </c>
      <c r="I119">
        <f t="shared" si="9"/>
        <v>63</v>
      </c>
    </row>
    <row r="120" spans="1:9" x14ac:dyDescent="0.45">
      <c r="A120">
        <v>30</v>
      </c>
      <c r="B120">
        <v>500</v>
      </c>
      <c r="C120">
        <v>5</v>
      </c>
      <c r="D120">
        <f t="shared" si="5"/>
        <v>500</v>
      </c>
      <c r="E120" t="str">
        <f t="shared" si="6"/>
        <v>20+</v>
      </c>
      <c r="F120" s="1">
        <f>INDEX('App-Click Conversion by Rank'!$K$12:$S$31,MATCH(E120,'App-Click Conversion by Rank'!$J$12:$J$31,0),MATCH(D120,'App-Click Conversion by Rank'!$K$11:$S$11,0))</f>
        <v>5.1121544079290558E-3</v>
      </c>
      <c r="G120" s="3">
        <f t="shared" si="7"/>
        <v>2.5560772039645279E-2</v>
      </c>
      <c r="H120" s="5">
        <f t="shared" si="8"/>
        <v>0.76682316118935834</v>
      </c>
      <c r="I120">
        <f t="shared" si="9"/>
        <v>150</v>
      </c>
    </row>
    <row r="121" spans="1:9" x14ac:dyDescent="0.45">
      <c r="A121">
        <v>27</v>
      </c>
      <c r="B121">
        <v>600</v>
      </c>
      <c r="C121">
        <v>3</v>
      </c>
      <c r="D121" t="str">
        <f t="shared" si="5"/>
        <v>501+</v>
      </c>
      <c r="E121" t="str">
        <f t="shared" si="6"/>
        <v>20+</v>
      </c>
      <c r="F121" s="1">
        <f>INDEX('App-Click Conversion by Rank'!$K$12:$S$31,MATCH(E121,'App-Click Conversion by Rank'!$J$12:$J$31,0),MATCH(D121,'App-Click Conversion by Rank'!$K$11:$S$11,0))</f>
        <v>5.9893958237873931E-3</v>
      </c>
      <c r="G121" s="3">
        <f t="shared" si="7"/>
        <v>1.7968187471362179E-2</v>
      </c>
      <c r="H121" s="5">
        <f t="shared" si="8"/>
        <v>0.48514106172677884</v>
      </c>
      <c r="I121">
        <f t="shared" si="9"/>
        <v>81</v>
      </c>
    </row>
    <row r="122" spans="1:9" x14ac:dyDescent="0.45">
      <c r="A122">
        <v>33</v>
      </c>
      <c r="B122">
        <v>500</v>
      </c>
      <c r="C122">
        <v>1</v>
      </c>
      <c r="D122">
        <f t="shared" si="5"/>
        <v>500</v>
      </c>
      <c r="E122" t="str">
        <f t="shared" si="6"/>
        <v>20+</v>
      </c>
      <c r="F122" s="1">
        <f>INDEX('App-Click Conversion by Rank'!$K$12:$S$31,MATCH(E122,'App-Click Conversion by Rank'!$J$12:$J$31,0),MATCH(D122,'App-Click Conversion by Rank'!$K$11:$S$11,0))</f>
        <v>5.1121544079290558E-3</v>
      </c>
      <c r="G122" s="3">
        <f t="shared" si="7"/>
        <v>5.1121544079290558E-3</v>
      </c>
      <c r="H122" s="5">
        <f t="shared" si="8"/>
        <v>0.16870109546165885</v>
      </c>
      <c r="I122">
        <f t="shared" si="9"/>
        <v>33</v>
      </c>
    </row>
    <row r="123" spans="1:9" x14ac:dyDescent="0.45">
      <c r="A123">
        <v>14</v>
      </c>
      <c r="B123">
        <v>300</v>
      </c>
      <c r="C123">
        <v>3</v>
      </c>
      <c r="D123">
        <f t="shared" si="5"/>
        <v>300</v>
      </c>
      <c r="E123">
        <f t="shared" si="6"/>
        <v>14</v>
      </c>
      <c r="F123" s="1">
        <f>INDEX('App-Click Conversion by Rank'!$K$12:$S$31,MATCH(E123,'App-Click Conversion by Rank'!$J$12:$J$31,0),MATCH(D123,'App-Click Conversion by Rank'!$K$11:$S$11,0))</f>
        <v>1.1160714285714286E-2</v>
      </c>
      <c r="G123" s="3">
        <f t="shared" si="7"/>
        <v>3.3482142857142856E-2</v>
      </c>
      <c r="H123" s="5">
        <f t="shared" si="8"/>
        <v>0.46875</v>
      </c>
      <c r="I123">
        <f t="shared" si="9"/>
        <v>42</v>
      </c>
    </row>
    <row r="124" spans="1:9" x14ac:dyDescent="0.45">
      <c r="A124">
        <v>23</v>
      </c>
      <c r="B124">
        <v>550</v>
      </c>
      <c r="C124">
        <v>6</v>
      </c>
      <c r="D124" t="str">
        <f t="shared" si="5"/>
        <v>501+</v>
      </c>
      <c r="E124" t="str">
        <f t="shared" si="6"/>
        <v>20+</v>
      </c>
      <c r="F124" s="1">
        <f>INDEX('App-Click Conversion by Rank'!$K$12:$S$31,MATCH(E124,'App-Click Conversion by Rank'!$J$12:$J$31,0),MATCH(D124,'App-Click Conversion by Rank'!$K$11:$S$11,0))</f>
        <v>5.9893958237873931E-3</v>
      </c>
      <c r="G124" s="3">
        <f t="shared" si="7"/>
        <v>3.5936374942724357E-2</v>
      </c>
      <c r="H124" s="5">
        <f t="shared" si="8"/>
        <v>0.82653662368266023</v>
      </c>
      <c r="I124">
        <f t="shared" si="9"/>
        <v>138</v>
      </c>
    </row>
    <row r="125" spans="1:9" x14ac:dyDescent="0.45">
      <c r="A125">
        <v>24</v>
      </c>
      <c r="B125">
        <v>600</v>
      </c>
      <c r="C125">
        <v>3</v>
      </c>
      <c r="D125" t="str">
        <f t="shared" si="5"/>
        <v>501+</v>
      </c>
      <c r="E125" t="str">
        <f t="shared" si="6"/>
        <v>20+</v>
      </c>
      <c r="F125" s="1">
        <f>INDEX('App-Click Conversion by Rank'!$K$12:$S$31,MATCH(E125,'App-Click Conversion by Rank'!$J$12:$J$31,0),MATCH(D125,'App-Click Conversion by Rank'!$K$11:$S$11,0))</f>
        <v>5.9893958237873931E-3</v>
      </c>
      <c r="G125" s="3">
        <f t="shared" si="7"/>
        <v>1.7968187471362179E-2</v>
      </c>
      <c r="H125" s="5">
        <f t="shared" si="8"/>
        <v>0.43123649931269226</v>
      </c>
      <c r="I125">
        <f t="shared" si="9"/>
        <v>72</v>
      </c>
    </row>
    <row r="126" spans="1:9" x14ac:dyDescent="0.45">
      <c r="A126">
        <v>3</v>
      </c>
      <c r="B126">
        <v>650</v>
      </c>
      <c r="C126">
        <v>1</v>
      </c>
      <c r="D126" t="str">
        <f t="shared" si="5"/>
        <v>501+</v>
      </c>
      <c r="E126">
        <f t="shared" si="6"/>
        <v>3</v>
      </c>
      <c r="F126" s="1">
        <f>INDEX('App-Click Conversion by Rank'!$K$12:$S$31,MATCH(E126,'App-Click Conversion by Rank'!$J$12:$J$31,0),MATCH(D126,'App-Click Conversion by Rank'!$K$11:$S$11,0))</f>
        <v>4.4627885979620793E-2</v>
      </c>
      <c r="G126" s="3">
        <f t="shared" si="7"/>
        <v>4.4627885979620793E-2</v>
      </c>
      <c r="H126" s="5">
        <f t="shared" si="8"/>
        <v>0.13388365793886237</v>
      </c>
      <c r="I126">
        <f t="shared" si="9"/>
        <v>3</v>
      </c>
    </row>
    <row r="127" spans="1:9" x14ac:dyDescent="0.45">
      <c r="A127">
        <v>29</v>
      </c>
      <c r="B127">
        <v>500</v>
      </c>
      <c r="C127">
        <v>2</v>
      </c>
      <c r="D127">
        <f t="shared" si="5"/>
        <v>500</v>
      </c>
      <c r="E127" t="str">
        <f t="shared" si="6"/>
        <v>20+</v>
      </c>
      <c r="F127" s="1">
        <f>INDEX('App-Click Conversion by Rank'!$K$12:$S$31,MATCH(E127,'App-Click Conversion by Rank'!$J$12:$J$31,0),MATCH(D127,'App-Click Conversion by Rank'!$K$11:$S$11,0))</f>
        <v>5.1121544079290558E-3</v>
      </c>
      <c r="G127" s="3">
        <f t="shared" si="7"/>
        <v>1.0224308815858112E-2</v>
      </c>
      <c r="H127" s="5">
        <f t="shared" si="8"/>
        <v>0.29650495565988522</v>
      </c>
      <c r="I127">
        <f t="shared" si="9"/>
        <v>58</v>
      </c>
    </row>
    <row r="128" spans="1:9" x14ac:dyDescent="0.45">
      <c r="A128">
        <v>25</v>
      </c>
      <c r="B128">
        <v>550</v>
      </c>
      <c r="C128">
        <v>3</v>
      </c>
      <c r="D128" t="str">
        <f t="shared" si="5"/>
        <v>501+</v>
      </c>
      <c r="E128" t="str">
        <f t="shared" si="6"/>
        <v>20+</v>
      </c>
      <c r="F128" s="1">
        <f>INDEX('App-Click Conversion by Rank'!$K$12:$S$31,MATCH(E128,'App-Click Conversion by Rank'!$J$12:$J$31,0),MATCH(D128,'App-Click Conversion by Rank'!$K$11:$S$11,0))</f>
        <v>5.9893958237873931E-3</v>
      </c>
      <c r="G128" s="3">
        <f t="shared" si="7"/>
        <v>1.7968187471362179E-2</v>
      </c>
      <c r="H128" s="5">
        <f t="shared" si="8"/>
        <v>0.44920468678405445</v>
      </c>
      <c r="I128">
        <f t="shared" si="9"/>
        <v>75</v>
      </c>
    </row>
    <row r="129" spans="1:9" x14ac:dyDescent="0.45">
      <c r="A129">
        <v>22</v>
      </c>
      <c r="B129">
        <v>450</v>
      </c>
      <c r="C129">
        <v>3</v>
      </c>
      <c r="D129">
        <f t="shared" si="5"/>
        <v>450</v>
      </c>
      <c r="E129" t="str">
        <f t="shared" si="6"/>
        <v>20+</v>
      </c>
      <c r="F129" s="1">
        <f>INDEX('App-Click Conversion by Rank'!$K$12:$S$31,MATCH(E129,'App-Click Conversion by Rank'!$J$12:$J$31,0),MATCH(D129,'App-Click Conversion by Rank'!$K$11:$S$11,0))</f>
        <v>5.6022408963585435E-3</v>
      </c>
      <c r="G129" s="3">
        <f t="shared" si="7"/>
        <v>1.680672268907563E-2</v>
      </c>
      <c r="H129" s="5">
        <f t="shared" si="8"/>
        <v>0.36974789915966383</v>
      </c>
      <c r="I129">
        <f t="shared" si="9"/>
        <v>66</v>
      </c>
    </row>
    <row r="130" spans="1:9" x14ac:dyDescent="0.45">
      <c r="A130">
        <v>31</v>
      </c>
      <c r="B130">
        <v>600</v>
      </c>
      <c r="C130">
        <v>1</v>
      </c>
      <c r="D130" t="str">
        <f t="shared" si="5"/>
        <v>501+</v>
      </c>
      <c r="E130" t="str">
        <f t="shared" si="6"/>
        <v>20+</v>
      </c>
      <c r="F130" s="1">
        <f>INDEX('App-Click Conversion by Rank'!$K$12:$S$31,MATCH(E130,'App-Click Conversion by Rank'!$J$12:$J$31,0),MATCH(D130,'App-Click Conversion by Rank'!$K$11:$S$11,0))</f>
        <v>5.9893958237873931E-3</v>
      </c>
      <c r="G130" s="3">
        <f t="shared" si="7"/>
        <v>5.9893958237873931E-3</v>
      </c>
      <c r="H130" s="5">
        <f t="shared" si="8"/>
        <v>0.1856712705374092</v>
      </c>
      <c r="I130">
        <f t="shared" si="9"/>
        <v>31</v>
      </c>
    </row>
    <row r="131" spans="1:9" x14ac:dyDescent="0.45">
      <c r="A131">
        <v>9</v>
      </c>
      <c r="B131">
        <v>500</v>
      </c>
      <c r="C131">
        <v>986</v>
      </c>
      <c r="D131">
        <f t="shared" ref="D131:D194" si="10">IF(B131&lt;=150,"&lt;=150",IF(B131&gt;500,"501+",B131))</f>
        <v>500</v>
      </c>
      <c r="E131">
        <f t="shared" ref="E131:E194" si="11">IF(A131&gt;=20,"20+",A131)</f>
        <v>9</v>
      </c>
      <c r="F131" s="1">
        <f>INDEX('App-Click Conversion by Rank'!$K$12:$S$31,MATCH(E131,'App-Click Conversion by Rank'!$J$12:$J$31,0),MATCH(D131,'App-Click Conversion by Rank'!$K$11:$S$11,0))</f>
        <v>6.8679821214433666E-3</v>
      </c>
      <c r="G131" s="3">
        <f t="shared" ref="G131:G194" si="12">C131*F131</f>
        <v>6.7718303717431594</v>
      </c>
      <c r="H131" s="5">
        <f t="shared" ref="H131:H194" si="13">G131*A131</f>
        <v>60.946473345688432</v>
      </c>
      <c r="I131">
        <f t="shared" ref="I131:I194" si="14">C131*A131</f>
        <v>8874</v>
      </c>
    </row>
    <row r="132" spans="1:9" x14ac:dyDescent="0.45">
      <c r="A132">
        <v>7</v>
      </c>
      <c r="B132">
        <v>550</v>
      </c>
      <c r="C132">
        <v>225</v>
      </c>
      <c r="D132" t="str">
        <f t="shared" si="10"/>
        <v>501+</v>
      </c>
      <c r="E132">
        <f t="shared" si="11"/>
        <v>7</v>
      </c>
      <c r="F132" s="1">
        <f>INDEX('App-Click Conversion by Rank'!$K$12:$S$31,MATCH(E132,'App-Click Conversion by Rank'!$J$12:$J$31,0),MATCH(D132,'App-Click Conversion by Rank'!$K$11:$S$11,0))</f>
        <v>1.4011208967173739E-2</v>
      </c>
      <c r="G132" s="3">
        <f t="shared" si="12"/>
        <v>3.1525220176140913</v>
      </c>
      <c r="H132" s="5">
        <f t="shared" si="13"/>
        <v>22.067654123298638</v>
      </c>
      <c r="I132">
        <f t="shared" si="14"/>
        <v>1575</v>
      </c>
    </row>
    <row r="133" spans="1:9" x14ac:dyDescent="0.45">
      <c r="A133">
        <v>13</v>
      </c>
      <c r="B133">
        <v>400</v>
      </c>
      <c r="C133">
        <v>647</v>
      </c>
      <c r="D133">
        <f t="shared" si="10"/>
        <v>400</v>
      </c>
      <c r="E133">
        <f t="shared" si="11"/>
        <v>13</v>
      </c>
      <c r="F133" s="1">
        <f>INDEX('App-Click Conversion by Rank'!$K$12:$S$31,MATCH(E133,'App-Click Conversion by Rank'!$J$12:$J$31,0),MATCH(D133,'App-Click Conversion by Rank'!$K$11:$S$11,0))</f>
        <v>4.8470160557406846E-3</v>
      </c>
      <c r="G133" s="3">
        <f t="shared" si="12"/>
        <v>3.1360193880642231</v>
      </c>
      <c r="H133" s="5">
        <f t="shared" si="13"/>
        <v>40.768252044834902</v>
      </c>
      <c r="I133">
        <f t="shared" si="14"/>
        <v>8411</v>
      </c>
    </row>
    <row r="134" spans="1:9" x14ac:dyDescent="0.45">
      <c r="A134">
        <v>11</v>
      </c>
      <c r="B134">
        <v>500</v>
      </c>
      <c r="C134">
        <v>646</v>
      </c>
      <c r="D134">
        <f t="shared" si="10"/>
        <v>500</v>
      </c>
      <c r="E134">
        <f t="shared" si="11"/>
        <v>11</v>
      </c>
      <c r="F134" s="1">
        <f>INDEX('App-Click Conversion by Rank'!$K$12:$S$31,MATCH(E134,'App-Click Conversion by Rank'!$J$12:$J$31,0),MATCH(D134,'App-Click Conversion by Rank'!$K$11:$S$11,0))</f>
        <v>7.8869923484402582E-3</v>
      </c>
      <c r="G134" s="3">
        <f t="shared" si="12"/>
        <v>5.0949970570924066</v>
      </c>
      <c r="H134" s="5">
        <f t="shared" si="13"/>
        <v>56.044967628016472</v>
      </c>
      <c r="I134">
        <f t="shared" si="14"/>
        <v>7106</v>
      </c>
    </row>
    <row r="135" spans="1:9" x14ac:dyDescent="0.45">
      <c r="A135">
        <v>6</v>
      </c>
      <c r="B135">
        <v>500</v>
      </c>
      <c r="C135">
        <v>489</v>
      </c>
      <c r="D135">
        <f t="shared" si="10"/>
        <v>500</v>
      </c>
      <c r="E135">
        <f t="shared" si="11"/>
        <v>6</v>
      </c>
      <c r="F135" s="1">
        <f>INDEX('App-Click Conversion by Rank'!$K$12:$S$31,MATCH(E135,'App-Click Conversion by Rank'!$J$12:$J$31,0),MATCH(D135,'App-Click Conversion by Rank'!$K$11:$S$11,0))</f>
        <v>2.218905472636816E-2</v>
      </c>
      <c r="G135" s="3">
        <f t="shared" si="12"/>
        <v>10.85044776119403</v>
      </c>
      <c r="H135" s="5">
        <f t="shared" si="13"/>
        <v>65.10268656716417</v>
      </c>
      <c r="I135">
        <f t="shared" si="14"/>
        <v>2934</v>
      </c>
    </row>
    <row r="136" spans="1:9" x14ac:dyDescent="0.45">
      <c r="A136">
        <v>7</v>
      </c>
      <c r="B136">
        <v>500</v>
      </c>
      <c r="C136">
        <v>422</v>
      </c>
      <c r="D136">
        <f t="shared" si="10"/>
        <v>500</v>
      </c>
      <c r="E136">
        <f t="shared" si="11"/>
        <v>7</v>
      </c>
      <c r="F136" s="1">
        <f>INDEX('App-Click Conversion by Rank'!$K$12:$S$31,MATCH(E136,'App-Click Conversion by Rank'!$J$12:$J$31,0),MATCH(D136,'App-Click Conversion by Rank'!$K$11:$S$11,0))</f>
        <v>1.6261794820317206E-2</v>
      </c>
      <c r="G136" s="3">
        <f t="shared" si="12"/>
        <v>6.8624774141738607</v>
      </c>
      <c r="H136" s="5">
        <f t="shared" si="13"/>
        <v>48.037341899217026</v>
      </c>
      <c r="I136">
        <f t="shared" si="14"/>
        <v>2954</v>
      </c>
    </row>
    <row r="137" spans="1:9" x14ac:dyDescent="0.45">
      <c r="A137">
        <v>3</v>
      </c>
      <c r="B137">
        <v>250</v>
      </c>
      <c r="C137">
        <v>122</v>
      </c>
      <c r="D137">
        <f t="shared" si="10"/>
        <v>250</v>
      </c>
      <c r="E137">
        <f t="shared" si="11"/>
        <v>3</v>
      </c>
      <c r="F137" s="1">
        <f>INDEX('App-Click Conversion by Rank'!$K$12:$S$31,MATCH(E137,'App-Click Conversion by Rank'!$J$12:$J$31,0),MATCH(D137,'App-Click Conversion by Rank'!$K$11:$S$11,0))</f>
        <v>0.10116550116550116</v>
      </c>
      <c r="G137" s="3">
        <f t="shared" si="12"/>
        <v>12.342191142191142</v>
      </c>
      <c r="H137" s="5">
        <f t="shared" si="13"/>
        <v>37.026573426573428</v>
      </c>
      <c r="I137">
        <f t="shared" si="14"/>
        <v>366</v>
      </c>
    </row>
    <row r="138" spans="1:9" x14ac:dyDescent="0.45">
      <c r="A138">
        <v>4</v>
      </c>
      <c r="B138">
        <v>500</v>
      </c>
      <c r="C138">
        <v>322</v>
      </c>
      <c r="D138">
        <f t="shared" si="10"/>
        <v>500</v>
      </c>
      <c r="E138">
        <f t="shared" si="11"/>
        <v>4</v>
      </c>
      <c r="F138" s="1">
        <f>INDEX('App-Click Conversion by Rank'!$K$12:$S$31,MATCH(E138,'App-Click Conversion by Rank'!$J$12:$J$31,0),MATCH(D138,'App-Click Conversion by Rank'!$K$11:$S$11,0))</f>
        <v>3.3269961977186312E-2</v>
      </c>
      <c r="G138" s="3">
        <f t="shared" si="12"/>
        <v>10.712927756653992</v>
      </c>
      <c r="H138" s="5">
        <f t="shared" si="13"/>
        <v>42.851711026615966</v>
      </c>
      <c r="I138">
        <f t="shared" si="14"/>
        <v>1288</v>
      </c>
    </row>
    <row r="139" spans="1:9" x14ac:dyDescent="0.45">
      <c r="A139">
        <v>11</v>
      </c>
      <c r="B139">
        <v>550</v>
      </c>
      <c r="C139">
        <v>436</v>
      </c>
      <c r="D139" t="str">
        <f t="shared" si="10"/>
        <v>501+</v>
      </c>
      <c r="E139">
        <f t="shared" si="11"/>
        <v>11</v>
      </c>
      <c r="F139" s="1">
        <f>INDEX('App-Click Conversion by Rank'!$K$12:$S$31,MATCH(E139,'App-Click Conversion by Rank'!$J$12:$J$31,0),MATCH(D139,'App-Click Conversion by Rank'!$K$11:$S$11,0))</f>
        <v>7.0175438596491229E-3</v>
      </c>
      <c r="G139" s="3">
        <f t="shared" si="12"/>
        <v>3.0596491228070177</v>
      </c>
      <c r="H139" s="5">
        <f t="shared" si="13"/>
        <v>33.656140350877195</v>
      </c>
      <c r="I139">
        <f t="shared" si="14"/>
        <v>4796</v>
      </c>
    </row>
    <row r="140" spans="1:9" x14ac:dyDescent="0.45">
      <c r="A140">
        <v>3</v>
      </c>
      <c r="B140">
        <v>200</v>
      </c>
      <c r="C140">
        <v>63</v>
      </c>
      <c r="D140">
        <f t="shared" si="10"/>
        <v>200</v>
      </c>
      <c r="E140">
        <f t="shared" si="11"/>
        <v>3</v>
      </c>
      <c r="F140" s="1">
        <f>INDEX('App-Click Conversion by Rank'!$K$12:$S$31,MATCH(E140,'App-Click Conversion by Rank'!$J$12:$J$31,0),MATCH(D140,'App-Click Conversion by Rank'!$K$11:$S$11,0))</f>
        <v>9.3181818181818185E-2</v>
      </c>
      <c r="G140" s="3">
        <f t="shared" si="12"/>
        <v>5.870454545454546</v>
      </c>
      <c r="H140" s="5">
        <f t="shared" si="13"/>
        <v>17.611363636363638</v>
      </c>
      <c r="I140">
        <f t="shared" si="14"/>
        <v>189</v>
      </c>
    </row>
    <row r="141" spans="1:9" x14ac:dyDescent="0.45">
      <c r="A141">
        <v>1</v>
      </c>
      <c r="B141">
        <v>300</v>
      </c>
      <c r="C141">
        <v>50</v>
      </c>
      <c r="D141">
        <f t="shared" si="10"/>
        <v>300</v>
      </c>
      <c r="E141">
        <f t="shared" si="11"/>
        <v>1</v>
      </c>
      <c r="F141" s="1">
        <f>INDEX('App-Click Conversion by Rank'!$K$12:$S$31,MATCH(E141,'App-Click Conversion by Rank'!$J$12:$J$31,0),MATCH(D141,'App-Click Conversion by Rank'!$K$11:$S$11,0))</f>
        <v>0.27164439279488667</v>
      </c>
      <c r="G141" s="3">
        <f t="shared" si="12"/>
        <v>13.582219639744334</v>
      </c>
      <c r="H141" s="5">
        <f t="shared" si="13"/>
        <v>13.582219639744334</v>
      </c>
      <c r="I141">
        <f t="shared" si="14"/>
        <v>50</v>
      </c>
    </row>
    <row r="142" spans="1:9" x14ac:dyDescent="0.45">
      <c r="A142">
        <v>16</v>
      </c>
      <c r="B142">
        <v>450</v>
      </c>
      <c r="C142">
        <v>9</v>
      </c>
      <c r="D142">
        <f t="shared" si="10"/>
        <v>450</v>
      </c>
      <c r="E142">
        <f t="shared" si="11"/>
        <v>16</v>
      </c>
      <c r="F142" s="1">
        <f>INDEX('App-Click Conversion by Rank'!$K$12:$S$31,MATCH(E142,'App-Click Conversion by Rank'!$J$12:$J$31,0),MATCH(D142,'App-Click Conversion by Rank'!$K$11:$S$11,0))</f>
        <v>3.4283265481037067E-3</v>
      </c>
      <c r="G142" s="3">
        <f t="shared" si="12"/>
        <v>3.0854938932933361E-2</v>
      </c>
      <c r="H142" s="5">
        <f t="shared" si="13"/>
        <v>0.49367902292693377</v>
      </c>
      <c r="I142">
        <f t="shared" si="14"/>
        <v>144</v>
      </c>
    </row>
    <row r="143" spans="1:9" x14ac:dyDescent="0.45">
      <c r="A143">
        <v>28</v>
      </c>
      <c r="B143">
        <v>500</v>
      </c>
      <c r="C143">
        <v>4</v>
      </c>
      <c r="D143">
        <f t="shared" si="10"/>
        <v>500</v>
      </c>
      <c r="E143" t="str">
        <f t="shared" si="11"/>
        <v>20+</v>
      </c>
      <c r="F143" s="1">
        <f>INDEX('App-Click Conversion by Rank'!$K$12:$S$31,MATCH(E143,'App-Click Conversion by Rank'!$J$12:$J$31,0),MATCH(D143,'App-Click Conversion by Rank'!$K$11:$S$11,0))</f>
        <v>5.1121544079290558E-3</v>
      </c>
      <c r="G143" s="3">
        <f t="shared" si="12"/>
        <v>2.0448617631716223E-2</v>
      </c>
      <c r="H143" s="5">
        <f t="shared" si="13"/>
        <v>0.5725612936880542</v>
      </c>
      <c r="I143">
        <f t="shared" si="14"/>
        <v>112</v>
      </c>
    </row>
    <row r="144" spans="1:9" x14ac:dyDescent="0.45">
      <c r="A144">
        <v>8</v>
      </c>
      <c r="B144">
        <v>600</v>
      </c>
      <c r="C144">
        <v>25</v>
      </c>
      <c r="D144" t="str">
        <f t="shared" si="10"/>
        <v>501+</v>
      </c>
      <c r="E144">
        <f t="shared" si="11"/>
        <v>8</v>
      </c>
      <c r="F144" s="1">
        <f>INDEX('App-Click Conversion by Rank'!$K$12:$S$31,MATCH(E144,'App-Click Conversion by Rank'!$J$12:$J$31,0),MATCH(D144,'App-Click Conversion by Rank'!$K$11:$S$11,0))</f>
        <v>1.0399562123700055E-2</v>
      </c>
      <c r="G144" s="3">
        <f t="shared" si="12"/>
        <v>0.25998905309250137</v>
      </c>
      <c r="H144" s="5">
        <f t="shared" si="13"/>
        <v>2.0799124247400109</v>
      </c>
      <c r="I144">
        <f t="shared" si="14"/>
        <v>200</v>
      </c>
    </row>
    <row r="145" spans="1:9" x14ac:dyDescent="0.45">
      <c r="A145">
        <v>10</v>
      </c>
      <c r="B145">
        <v>250</v>
      </c>
      <c r="C145">
        <v>11</v>
      </c>
      <c r="D145">
        <f t="shared" si="10"/>
        <v>250</v>
      </c>
      <c r="E145">
        <f t="shared" si="11"/>
        <v>10</v>
      </c>
      <c r="F145" s="1">
        <f>INDEX('App-Click Conversion by Rank'!$K$12:$S$31,MATCH(E145,'App-Click Conversion by Rank'!$J$12:$J$31,0),MATCH(D145,'App-Click Conversion by Rank'!$K$11:$S$11,0))</f>
        <v>2.768166089965398E-2</v>
      </c>
      <c r="G145" s="3">
        <f t="shared" si="12"/>
        <v>0.30449826989619377</v>
      </c>
      <c r="H145" s="5">
        <f t="shared" si="13"/>
        <v>3.0449826989619377</v>
      </c>
      <c r="I145">
        <f t="shared" si="14"/>
        <v>110</v>
      </c>
    </row>
    <row r="146" spans="1:9" x14ac:dyDescent="0.45">
      <c r="A146">
        <v>8</v>
      </c>
      <c r="B146">
        <v>650</v>
      </c>
      <c r="C146">
        <v>5</v>
      </c>
      <c r="D146" t="str">
        <f t="shared" si="10"/>
        <v>501+</v>
      </c>
      <c r="E146">
        <f t="shared" si="11"/>
        <v>8</v>
      </c>
      <c r="F146" s="1">
        <f>INDEX('App-Click Conversion by Rank'!$K$12:$S$31,MATCH(E146,'App-Click Conversion by Rank'!$J$12:$J$31,0),MATCH(D146,'App-Click Conversion by Rank'!$K$11:$S$11,0))</f>
        <v>1.0399562123700055E-2</v>
      </c>
      <c r="G146" s="3">
        <f t="shared" si="12"/>
        <v>5.199781061850027E-2</v>
      </c>
      <c r="H146" s="5">
        <f t="shared" si="13"/>
        <v>0.41598248494800216</v>
      </c>
      <c r="I146">
        <f t="shared" si="14"/>
        <v>40</v>
      </c>
    </row>
    <row r="147" spans="1:9" x14ac:dyDescent="0.45">
      <c r="A147">
        <v>15</v>
      </c>
      <c r="B147">
        <v>350</v>
      </c>
      <c r="C147">
        <v>2</v>
      </c>
      <c r="D147">
        <f t="shared" si="10"/>
        <v>350</v>
      </c>
      <c r="E147">
        <f t="shared" si="11"/>
        <v>15</v>
      </c>
      <c r="F147" s="1">
        <f>INDEX('App-Click Conversion by Rank'!$K$12:$S$31,MATCH(E147,'App-Click Conversion by Rank'!$J$12:$J$31,0),MATCH(D147,'App-Click Conversion by Rank'!$K$11:$S$11,0))</f>
        <v>4.048582995951417E-3</v>
      </c>
      <c r="G147" s="3">
        <f t="shared" si="12"/>
        <v>8.0971659919028341E-3</v>
      </c>
      <c r="H147" s="5">
        <f t="shared" si="13"/>
        <v>0.12145748987854252</v>
      </c>
      <c r="I147">
        <f t="shared" si="14"/>
        <v>30</v>
      </c>
    </row>
    <row r="148" spans="1:9" x14ac:dyDescent="0.45">
      <c r="A148">
        <v>8</v>
      </c>
      <c r="B148">
        <v>150</v>
      </c>
      <c r="C148">
        <v>2</v>
      </c>
      <c r="D148" t="str">
        <f t="shared" si="10"/>
        <v>&lt;=150</v>
      </c>
      <c r="E148">
        <f t="shared" si="11"/>
        <v>8</v>
      </c>
      <c r="F148" s="1">
        <f>INDEX('App-Click Conversion by Rank'!$K$12:$S$31,MATCH(E148,'App-Click Conversion by Rank'!$J$12:$J$31,0),MATCH(D148,'App-Click Conversion by Rank'!$K$11:$S$11,0))</f>
        <v>0</v>
      </c>
      <c r="G148" s="3">
        <f t="shared" si="12"/>
        <v>0</v>
      </c>
      <c r="H148" s="5">
        <f t="shared" si="13"/>
        <v>0</v>
      </c>
      <c r="I148">
        <f t="shared" si="14"/>
        <v>16</v>
      </c>
    </row>
    <row r="149" spans="1:9" x14ac:dyDescent="0.45">
      <c r="A149">
        <v>30</v>
      </c>
      <c r="B149">
        <v>450</v>
      </c>
      <c r="C149">
        <v>3</v>
      </c>
      <c r="D149">
        <f t="shared" si="10"/>
        <v>450</v>
      </c>
      <c r="E149" t="str">
        <f t="shared" si="11"/>
        <v>20+</v>
      </c>
      <c r="F149" s="1">
        <f>INDEX('App-Click Conversion by Rank'!$K$12:$S$31,MATCH(E149,'App-Click Conversion by Rank'!$J$12:$J$31,0),MATCH(D149,'App-Click Conversion by Rank'!$K$11:$S$11,0))</f>
        <v>5.6022408963585435E-3</v>
      </c>
      <c r="G149" s="3">
        <f t="shared" si="12"/>
        <v>1.680672268907563E-2</v>
      </c>
      <c r="H149" s="5">
        <f t="shared" si="13"/>
        <v>0.50420168067226889</v>
      </c>
      <c r="I149">
        <f t="shared" si="14"/>
        <v>90</v>
      </c>
    </row>
    <row r="150" spans="1:9" x14ac:dyDescent="0.45">
      <c r="A150">
        <v>29</v>
      </c>
      <c r="B150">
        <v>600</v>
      </c>
      <c r="C150">
        <v>1</v>
      </c>
      <c r="D150" t="str">
        <f t="shared" si="10"/>
        <v>501+</v>
      </c>
      <c r="E150" t="str">
        <f t="shared" si="11"/>
        <v>20+</v>
      </c>
      <c r="F150" s="1">
        <f>INDEX('App-Click Conversion by Rank'!$K$12:$S$31,MATCH(E150,'App-Click Conversion by Rank'!$J$12:$J$31,0),MATCH(D150,'App-Click Conversion by Rank'!$K$11:$S$11,0))</f>
        <v>5.9893958237873931E-3</v>
      </c>
      <c r="G150" s="3">
        <f t="shared" si="12"/>
        <v>5.9893958237873931E-3</v>
      </c>
      <c r="H150" s="5">
        <f t="shared" si="13"/>
        <v>0.17369247888983441</v>
      </c>
      <c r="I150">
        <f t="shared" si="14"/>
        <v>29</v>
      </c>
    </row>
    <row r="151" spans="1:9" x14ac:dyDescent="0.45">
      <c r="A151">
        <v>35</v>
      </c>
      <c r="B151">
        <v>350</v>
      </c>
      <c r="C151">
        <v>1</v>
      </c>
      <c r="D151">
        <f t="shared" si="10"/>
        <v>350</v>
      </c>
      <c r="E151" t="str">
        <f t="shared" si="11"/>
        <v>20+</v>
      </c>
      <c r="F151" s="1">
        <f>INDEX('App-Click Conversion by Rank'!$K$12:$S$31,MATCH(E151,'App-Click Conversion by Rank'!$J$12:$J$31,0),MATCH(D151,'App-Click Conversion by Rank'!$K$11:$S$11,0))</f>
        <v>4.1279669762641896E-3</v>
      </c>
      <c r="G151" s="3">
        <f t="shared" si="12"/>
        <v>4.1279669762641896E-3</v>
      </c>
      <c r="H151" s="5">
        <f t="shared" si="13"/>
        <v>0.14447884416924664</v>
      </c>
      <c r="I151">
        <f t="shared" si="14"/>
        <v>35</v>
      </c>
    </row>
    <row r="152" spans="1:9" x14ac:dyDescent="0.45">
      <c r="A152">
        <v>29</v>
      </c>
      <c r="B152">
        <v>650</v>
      </c>
      <c r="C152">
        <v>1</v>
      </c>
      <c r="D152" t="str">
        <f t="shared" si="10"/>
        <v>501+</v>
      </c>
      <c r="E152" t="str">
        <f t="shared" si="11"/>
        <v>20+</v>
      </c>
      <c r="F152" s="1">
        <f>INDEX('App-Click Conversion by Rank'!$K$12:$S$31,MATCH(E152,'App-Click Conversion by Rank'!$J$12:$J$31,0),MATCH(D152,'App-Click Conversion by Rank'!$K$11:$S$11,0))</f>
        <v>5.9893958237873931E-3</v>
      </c>
      <c r="G152" s="3">
        <f t="shared" si="12"/>
        <v>5.9893958237873931E-3</v>
      </c>
      <c r="H152" s="5">
        <f t="shared" si="13"/>
        <v>0.17369247888983441</v>
      </c>
      <c r="I152">
        <f t="shared" si="14"/>
        <v>29</v>
      </c>
    </row>
    <row r="153" spans="1:9" x14ac:dyDescent="0.45">
      <c r="A153">
        <v>13</v>
      </c>
      <c r="B153">
        <v>500</v>
      </c>
      <c r="C153">
        <v>1231</v>
      </c>
      <c r="D153">
        <f t="shared" si="10"/>
        <v>500</v>
      </c>
      <c r="E153">
        <f t="shared" si="11"/>
        <v>13</v>
      </c>
      <c r="F153" s="1">
        <f>INDEX('App-Click Conversion by Rank'!$K$12:$S$31,MATCH(E153,'App-Click Conversion by Rank'!$J$12:$J$31,0),MATCH(D153,'App-Click Conversion by Rank'!$K$11:$S$11,0))</f>
        <v>4.02060560371906E-3</v>
      </c>
      <c r="G153" s="3">
        <f t="shared" si="12"/>
        <v>4.949365498178163</v>
      </c>
      <c r="H153" s="5">
        <f t="shared" si="13"/>
        <v>64.341751476316119</v>
      </c>
      <c r="I153">
        <f t="shared" si="14"/>
        <v>16003</v>
      </c>
    </row>
    <row r="154" spans="1:9" x14ac:dyDescent="0.45">
      <c r="A154">
        <v>12</v>
      </c>
      <c r="B154">
        <v>450</v>
      </c>
      <c r="C154">
        <v>520</v>
      </c>
      <c r="D154">
        <f t="shared" si="10"/>
        <v>450</v>
      </c>
      <c r="E154">
        <f t="shared" si="11"/>
        <v>12</v>
      </c>
      <c r="F154" s="1">
        <f>INDEX('App-Click Conversion by Rank'!$K$12:$S$31,MATCH(E154,'App-Click Conversion by Rank'!$J$12:$J$31,0),MATCH(D154,'App-Click Conversion by Rank'!$K$11:$S$11,0))</f>
        <v>5.1795580110497235E-3</v>
      </c>
      <c r="G154" s="3">
        <f t="shared" si="12"/>
        <v>2.6933701657458564</v>
      </c>
      <c r="H154" s="5">
        <f t="shared" si="13"/>
        <v>32.320441988950279</v>
      </c>
      <c r="I154">
        <f t="shared" si="14"/>
        <v>6240</v>
      </c>
    </row>
    <row r="155" spans="1:9" x14ac:dyDescent="0.45">
      <c r="A155">
        <v>3</v>
      </c>
      <c r="B155">
        <v>350</v>
      </c>
      <c r="C155">
        <v>576</v>
      </c>
      <c r="D155">
        <f t="shared" si="10"/>
        <v>350</v>
      </c>
      <c r="E155">
        <f t="shared" si="11"/>
        <v>3</v>
      </c>
      <c r="F155" s="1">
        <f>INDEX('App-Click Conversion by Rank'!$K$12:$S$31,MATCH(E155,'App-Click Conversion by Rank'!$J$12:$J$31,0),MATCH(D155,'App-Click Conversion by Rank'!$K$11:$S$11,0))</f>
        <v>6.8351870576339735E-2</v>
      </c>
      <c r="G155" s="3">
        <f t="shared" si="12"/>
        <v>39.370677451971687</v>
      </c>
      <c r="H155" s="5">
        <f t="shared" si="13"/>
        <v>118.11203235591506</v>
      </c>
      <c r="I155">
        <f t="shared" si="14"/>
        <v>1728</v>
      </c>
    </row>
    <row r="156" spans="1:9" x14ac:dyDescent="0.45">
      <c r="A156">
        <v>3</v>
      </c>
      <c r="B156">
        <v>450</v>
      </c>
      <c r="C156">
        <v>861</v>
      </c>
      <c r="D156">
        <f t="shared" si="10"/>
        <v>450</v>
      </c>
      <c r="E156">
        <f t="shared" si="11"/>
        <v>3</v>
      </c>
      <c r="F156" s="1">
        <f>INDEX('App-Click Conversion by Rank'!$K$12:$S$31,MATCH(E156,'App-Click Conversion by Rank'!$J$12:$J$31,0),MATCH(D156,'App-Click Conversion by Rank'!$K$11:$S$11,0))</f>
        <v>5.0193489642613248E-2</v>
      </c>
      <c r="G156" s="3">
        <f t="shared" si="12"/>
        <v>43.216594582290007</v>
      </c>
      <c r="H156" s="5">
        <f t="shared" si="13"/>
        <v>129.64978374687001</v>
      </c>
      <c r="I156">
        <f t="shared" si="14"/>
        <v>2583</v>
      </c>
    </row>
    <row r="157" spans="1:9" x14ac:dyDescent="0.45">
      <c r="A157">
        <v>17</v>
      </c>
      <c r="B157">
        <v>600</v>
      </c>
      <c r="C157">
        <v>4</v>
      </c>
      <c r="D157" t="str">
        <f t="shared" si="10"/>
        <v>501+</v>
      </c>
      <c r="E157">
        <f t="shared" si="11"/>
        <v>17</v>
      </c>
      <c r="F157" s="1">
        <f>INDEX('App-Click Conversion by Rank'!$K$12:$S$31,MATCH(E157,'App-Click Conversion by Rank'!$J$12:$J$31,0),MATCH(D157,'App-Click Conversion by Rank'!$K$11:$S$11,0))</f>
        <v>2.660901380342591E-3</v>
      </c>
      <c r="G157" s="3">
        <f t="shared" si="12"/>
        <v>1.0643605521370364E-2</v>
      </c>
      <c r="H157" s="5">
        <f t="shared" si="13"/>
        <v>0.18094129386329619</v>
      </c>
      <c r="I157">
        <f t="shared" si="14"/>
        <v>68</v>
      </c>
    </row>
    <row r="158" spans="1:9" x14ac:dyDescent="0.45">
      <c r="A158">
        <v>6</v>
      </c>
      <c r="B158">
        <v>200</v>
      </c>
      <c r="C158">
        <v>21</v>
      </c>
      <c r="D158">
        <f t="shared" si="10"/>
        <v>200</v>
      </c>
      <c r="E158">
        <f t="shared" si="11"/>
        <v>6</v>
      </c>
      <c r="F158" s="1">
        <f>INDEX('App-Click Conversion by Rank'!$K$12:$S$31,MATCH(E158,'App-Click Conversion by Rank'!$J$12:$J$31,0),MATCH(D158,'App-Click Conversion by Rank'!$K$11:$S$11,0))</f>
        <v>3.486529318541997E-2</v>
      </c>
      <c r="G158" s="3">
        <f t="shared" si="12"/>
        <v>0.7321711568938194</v>
      </c>
      <c r="H158" s="5">
        <f t="shared" si="13"/>
        <v>4.3930269413629164</v>
      </c>
      <c r="I158">
        <f t="shared" si="14"/>
        <v>126</v>
      </c>
    </row>
    <row r="159" spans="1:9" x14ac:dyDescent="0.45">
      <c r="A159">
        <v>13</v>
      </c>
      <c r="B159">
        <v>550</v>
      </c>
      <c r="C159">
        <v>1196</v>
      </c>
      <c r="D159" t="str">
        <f t="shared" si="10"/>
        <v>501+</v>
      </c>
      <c r="E159">
        <f t="shared" si="11"/>
        <v>13</v>
      </c>
      <c r="F159" s="1">
        <f>INDEX('App-Click Conversion by Rank'!$K$12:$S$31,MATCH(E159,'App-Click Conversion by Rank'!$J$12:$J$31,0),MATCH(D159,'App-Click Conversion by Rank'!$K$11:$S$11,0))</f>
        <v>3.8179596823457542E-3</v>
      </c>
      <c r="G159" s="3">
        <f t="shared" si="12"/>
        <v>4.5662797800855222</v>
      </c>
      <c r="H159" s="5">
        <f t="shared" si="13"/>
        <v>59.361637141111785</v>
      </c>
      <c r="I159">
        <f t="shared" si="14"/>
        <v>15548</v>
      </c>
    </row>
    <row r="160" spans="1:9" x14ac:dyDescent="0.45">
      <c r="A160">
        <v>10</v>
      </c>
      <c r="B160">
        <v>350</v>
      </c>
      <c r="C160">
        <v>44</v>
      </c>
      <c r="D160">
        <f t="shared" si="10"/>
        <v>350</v>
      </c>
      <c r="E160">
        <f t="shared" si="11"/>
        <v>10</v>
      </c>
      <c r="F160" s="1">
        <f>INDEX('App-Click Conversion by Rank'!$K$12:$S$31,MATCH(E160,'App-Click Conversion by Rank'!$J$12:$J$31,0),MATCH(D160,'App-Click Conversion by Rank'!$K$11:$S$11,0))</f>
        <v>9.1474570069520669E-3</v>
      </c>
      <c r="G160" s="3">
        <f t="shared" si="12"/>
        <v>0.40248810830589093</v>
      </c>
      <c r="H160" s="5">
        <f t="shared" si="13"/>
        <v>4.0248810830589097</v>
      </c>
      <c r="I160">
        <f t="shared" si="14"/>
        <v>440</v>
      </c>
    </row>
    <row r="161" spans="1:9" x14ac:dyDescent="0.45">
      <c r="A161">
        <v>14</v>
      </c>
      <c r="B161">
        <v>400</v>
      </c>
      <c r="C161">
        <v>69</v>
      </c>
      <c r="D161">
        <f t="shared" si="10"/>
        <v>400</v>
      </c>
      <c r="E161">
        <f t="shared" si="11"/>
        <v>14</v>
      </c>
      <c r="F161" s="1">
        <f>INDEX('App-Click Conversion by Rank'!$K$12:$S$31,MATCH(E161,'App-Click Conversion by Rank'!$J$12:$J$31,0),MATCH(D161,'App-Click Conversion by Rank'!$K$11:$S$11,0))</f>
        <v>4.6901172529313232E-3</v>
      </c>
      <c r="G161" s="3">
        <f t="shared" si="12"/>
        <v>0.32361809045226131</v>
      </c>
      <c r="H161" s="5">
        <f t="shared" si="13"/>
        <v>4.5306532663316581</v>
      </c>
      <c r="I161">
        <f t="shared" si="14"/>
        <v>966</v>
      </c>
    </row>
    <row r="162" spans="1:9" x14ac:dyDescent="0.45">
      <c r="A162">
        <v>18</v>
      </c>
      <c r="B162">
        <v>450</v>
      </c>
      <c r="C162">
        <v>20</v>
      </c>
      <c r="D162">
        <f t="shared" si="10"/>
        <v>450</v>
      </c>
      <c r="E162">
        <f t="shared" si="11"/>
        <v>18</v>
      </c>
      <c r="F162" s="1">
        <f>INDEX('App-Click Conversion by Rank'!$K$12:$S$31,MATCH(E162,'App-Click Conversion by Rank'!$J$12:$J$31,0),MATCH(D162,'App-Click Conversion by Rank'!$K$11:$S$11,0))</f>
        <v>2.6493256262042388E-3</v>
      </c>
      <c r="G162" s="3">
        <f t="shared" si="12"/>
        <v>5.2986512524084775E-2</v>
      </c>
      <c r="H162" s="5">
        <f t="shared" si="13"/>
        <v>0.95375722543352592</v>
      </c>
      <c r="I162">
        <f t="shared" si="14"/>
        <v>360</v>
      </c>
    </row>
    <row r="163" spans="1:9" x14ac:dyDescent="0.45">
      <c r="A163">
        <v>15</v>
      </c>
      <c r="B163">
        <v>250</v>
      </c>
      <c r="C163">
        <v>1</v>
      </c>
      <c r="D163">
        <f t="shared" si="10"/>
        <v>250</v>
      </c>
      <c r="E163">
        <f t="shared" si="11"/>
        <v>15</v>
      </c>
      <c r="F163" s="1">
        <f>INDEX('App-Click Conversion by Rank'!$K$12:$S$31,MATCH(E163,'App-Click Conversion by Rank'!$J$12:$J$31,0),MATCH(D163,'App-Click Conversion by Rank'!$K$11:$S$11,0))</f>
        <v>1.4084507042253521E-2</v>
      </c>
      <c r="G163" s="3">
        <f t="shared" si="12"/>
        <v>1.4084507042253521E-2</v>
      </c>
      <c r="H163" s="5">
        <f t="shared" si="13"/>
        <v>0.21126760563380281</v>
      </c>
      <c r="I163">
        <f t="shared" si="14"/>
        <v>15</v>
      </c>
    </row>
    <row r="164" spans="1:9" x14ac:dyDescent="0.45">
      <c r="A164">
        <v>5</v>
      </c>
      <c r="B164">
        <v>250</v>
      </c>
      <c r="C164">
        <v>42</v>
      </c>
      <c r="D164">
        <f t="shared" si="10"/>
        <v>250</v>
      </c>
      <c r="E164">
        <f t="shared" si="11"/>
        <v>5</v>
      </c>
      <c r="F164" s="1">
        <f>INDEX('App-Click Conversion by Rank'!$K$12:$S$31,MATCH(E164,'App-Click Conversion by Rank'!$J$12:$J$31,0),MATCH(D164,'App-Click Conversion by Rank'!$K$11:$S$11,0))</f>
        <v>5.772594752186589E-2</v>
      </c>
      <c r="G164" s="3">
        <f t="shared" si="12"/>
        <v>2.4244897959183676</v>
      </c>
      <c r="H164" s="5">
        <f t="shared" si="13"/>
        <v>12.122448979591837</v>
      </c>
      <c r="I164">
        <f t="shared" si="14"/>
        <v>210</v>
      </c>
    </row>
    <row r="165" spans="1:9" x14ac:dyDescent="0.45">
      <c r="A165">
        <v>5</v>
      </c>
      <c r="B165">
        <v>200</v>
      </c>
      <c r="C165">
        <v>10</v>
      </c>
      <c r="D165">
        <f t="shared" si="10"/>
        <v>200</v>
      </c>
      <c r="E165">
        <f t="shared" si="11"/>
        <v>5</v>
      </c>
      <c r="F165" s="1">
        <f>INDEX('App-Click Conversion by Rank'!$K$12:$S$31,MATCH(E165,'App-Click Conversion by Rank'!$J$12:$J$31,0),MATCH(D165,'App-Click Conversion by Rank'!$K$11:$S$11,0))</f>
        <v>5.2173913043478258E-2</v>
      </c>
      <c r="G165" s="3">
        <f t="shared" si="12"/>
        <v>0.52173913043478259</v>
      </c>
      <c r="H165" s="5">
        <f t="shared" si="13"/>
        <v>2.6086956521739131</v>
      </c>
      <c r="I165">
        <f t="shared" si="14"/>
        <v>50</v>
      </c>
    </row>
    <row r="166" spans="1:9" x14ac:dyDescent="0.45">
      <c r="A166">
        <v>21</v>
      </c>
      <c r="B166">
        <v>450</v>
      </c>
      <c r="C166">
        <v>1</v>
      </c>
      <c r="D166">
        <f t="shared" si="10"/>
        <v>450</v>
      </c>
      <c r="E166" t="str">
        <f t="shared" si="11"/>
        <v>20+</v>
      </c>
      <c r="F166" s="1">
        <f>INDEX('App-Click Conversion by Rank'!$K$12:$S$31,MATCH(E166,'App-Click Conversion by Rank'!$J$12:$J$31,0),MATCH(D166,'App-Click Conversion by Rank'!$K$11:$S$11,0))</f>
        <v>5.6022408963585435E-3</v>
      </c>
      <c r="G166" s="3">
        <f t="shared" si="12"/>
        <v>5.6022408963585435E-3</v>
      </c>
      <c r="H166" s="5">
        <f t="shared" si="13"/>
        <v>0.11764705882352941</v>
      </c>
      <c r="I166">
        <f t="shared" si="14"/>
        <v>21</v>
      </c>
    </row>
    <row r="167" spans="1:9" x14ac:dyDescent="0.45">
      <c r="A167">
        <v>1</v>
      </c>
      <c r="B167">
        <v>250</v>
      </c>
      <c r="C167">
        <v>7</v>
      </c>
      <c r="D167">
        <f t="shared" si="10"/>
        <v>250</v>
      </c>
      <c r="E167">
        <f t="shared" si="11"/>
        <v>1</v>
      </c>
      <c r="F167" s="1">
        <f>INDEX('App-Click Conversion by Rank'!$K$12:$S$31,MATCH(E167,'App-Click Conversion by Rank'!$J$12:$J$31,0),MATCH(D167,'App-Click Conversion by Rank'!$K$11:$S$11,0))</f>
        <v>0.3187376725838264</v>
      </c>
      <c r="G167" s="3">
        <f t="shared" si="12"/>
        <v>2.2311637080867848</v>
      </c>
      <c r="H167" s="5">
        <f t="shared" si="13"/>
        <v>2.2311637080867848</v>
      </c>
      <c r="I167">
        <f t="shared" si="14"/>
        <v>7</v>
      </c>
    </row>
    <row r="168" spans="1:9" x14ac:dyDescent="0.45">
      <c r="A168">
        <v>18</v>
      </c>
      <c r="B168">
        <v>300</v>
      </c>
      <c r="C168">
        <v>1</v>
      </c>
      <c r="D168">
        <f t="shared" si="10"/>
        <v>300</v>
      </c>
      <c r="E168">
        <f t="shared" si="11"/>
        <v>18</v>
      </c>
      <c r="F168" s="1">
        <f>INDEX('App-Click Conversion by Rank'!$K$12:$S$31,MATCH(E168,'App-Click Conversion by Rank'!$J$12:$J$31,0),MATCH(D168,'App-Click Conversion by Rank'!$K$11:$S$11,0))</f>
        <v>5.8708414872798431E-3</v>
      </c>
      <c r="G168" s="3">
        <f t="shared" si="12"/>
        <v>5.8708414872798431E-3</v>
      </c>
      <c r="H168" s="5">
        <f t="shared" si="13"/>
        <v>0.10567514677103718</v>
      </c>
      <c r="I168">
        <f t="shared" si="14"/>
        <v>18</v>
      </c>
    </row>
    <row r="169" spans="1:9" x14ac:dyDescent="0.45">
      <c r="A169">
        <v>11</v>
      </c>
      <c r="B169">
        <v>250</v>
      </c>
      <c r="C169">
        <v>6</v>
      </c>
      <c r="D169">
        <f t="shared" si="10"/>
        <v>250</v>
      </c>
      <c r="E169">
        <f t="shared" si="11"/>
        <v>11</v>
      </c>
      <c r="F169" s="1">
        <f>INDEX('App-Click Conversion by Rank'!$K$12:$S$31,MATCH(E169,'App-Click Conversion by Rank'!$J$12:$J$31,0),MATCH(D169,'App-Click Conversion by Rank'!$K$11:$S$11,0))</f>
        <v>8.7463556851311956E-3</v>
      </c>
      <c r="G169" s="3">
        <f t="shared" si="12"/>
        <v>5.2478134110787174E-2</v>
      </c>
      <c r="H169" s="5">
        <f t="shared" si="13"/>
        <v>0.57725947521865895</v>
      </c>
      <c r="I169">
        <f t="shared" si="14"/>
        <v>66</v>
      </c>
    </row>
    <row r="170" spans="1:9" x14ac:dyDescent="0.45">
      <c r="A170">
        <v>32</v>
      </c>
      <c r="B170">
        <v>350</v>
      </c>
      <c r="C170">
        <v>1</v>
      </c>
      <c r="D170">
        <f t="shared" si="10"/>
        <v>350</v>
      </c>
      <c r="E170" t="str">
        <f t="shared" si="11"/>
        <v>20+</v>
      </c>
      <c r="F170" s="1">
        <f>INDEX('App-Click Conversion by Rank'!$K$12:$S$31,MATCH(E170,'App-Click Conversion by Rank'!$J$12:$J$31,0),MATCH(D170,'App-Click Conversion by Rank'!$K$11:$S$11,0))</f>
        <v>4.1279669762641896E-3</v>
      </c>
      <c r="G170" s="3">
        <f t="shared" si="12"/>
        <v>4.1279669762641896E-3</v>
      </c>
      <c r="H170" s="5">
        <f t="shared" si="13"/>
        <v>0.13209494324045407</v>
      </c>
      <c r="I170">
        <f t="shared" si="14"/>
        <v>32</v>
      </c>
    </row>
    <row r="171" spans="1:9" x14ac:dyDescent="0.45">
      <c r="A171">
        <v>27</v>
      </c>
      <c r="B171">
        <v>450</v>
      </c>
      <c r="C171">
        <v>3</v>
      </c>
      <c r="D171">
        <f t="shared" si="10"/>
        <v>450</v>
      </c>
      <c r="E171" t="str">
        <f t="shared" si="11"/>
        <v>20+</v>
      </c>
      <c r="F171" s="1">
        <f>INDEX('App-Click Conversion by Rank'!$K$12:$S$31,MATCH(E171,'App-Click Conversion by Rank'!$J$12:$J$31,0),MATCH(D171,'App-Click Conversion by Rank'!$K$11:$S$11,0))</f>
        <v>5.6022408963585435E-3</v>
      </c>
      <c r="G171" s="3">
        <f t="shared" si="12"/>
        <v>1.680672268907563E-2</v>
      </c>
      <c r="H171" s="5">
        <f t="shared" si="13"/>
        <v>0.45378151260504201</v>
      </c>
      <c r="I171">
        <f t="shared" si="14"/>
        <v>81</v>
      </c>
    </row>
    <row r="172" spans="1:9" x14ac:dyDescent="0.45">
      <c r="A172">
        <v>24</v>
      </c>
      <c r="B172">
        <v>500</v>
      </c>
      <c r="C172">
        <v>1</v>
      </c>
      <c r="D172">
        <f t="shared" si="10"/>
        <v>500</v>
      </c>
      <c r="E172" t="str">
        <f t="shared" si="11"/>
        <v>20+</v>
      </c>
      <c r="F172" s="1">
        <f>INDEX('App-Click Conversion by Rank'!$K$12:$S$31,MATCH(E172,'App-Click Conversion by Rank'!$J$12:$J$31,0),MATCH(D172,'App-Click Conversion by Rank'!$K$11:$S$11,0))</f>
        <v>5.1121544079290558E-3</v>
      </c>
      <c r="G172" s="3">
        <f t="shared" si="12"/>
        <v>5.1121544079290558E-3</v>
      </c>
      <c r="H172" s="5">
        <f t="shared" si="13"/>
        <v>0.12269170579029734</v>
      </c>
      <c r="I172">
        <f t="shared" si="14"/>
        <v>24</v>
      </c>
    </row>
    <row r="173" spans="1:9" x14ac:dyDescent="0.45">
      <c r="A173">
        <v>3</v>
      </c>
      <c r="B173">
        <v>0</v>
      </c>
      <c r="C173">
        <v>1</v>
      </c>
      <c r="D173" t="str">
        <f t="shared" si="10"/>
        <v>&lt;=150</v>
      </c>
      <c r="E173">
        <f t="shared" si="11"/>
        <v>3</v>
      </c>
      <c r="F173" s="1">
        <f>INDEX('App-Click Conversion by Rank'!$K$12:$S$31,MATCH(E173,'App-Click Conversion by Rank'!$J$12:$J$31,0),MATCH(D173,'App-Click Conversion by Rank'!$K$11:$S$11,0))</f>
        <v>9.8360655737704916E-2</v>
      </c>
      <c r="G173" s="3">
        <f t="shared" si="12"/>
        <v>9.8360655737704916E-2</v>
      </c>
      <c r="H173" s="5">
        <f t="shared" si="13"/>
        <v>0.29508196721311475</v>
      </c>
      <c r="I173">
        <f t="shared" si="14"/>
        <v>3</v>
      </c>
    </row>
    <row r="174" spans="1:9" x14ac:dyDescent="0.45">
      <c r="A174">
        <v>1</v>
      </c>
      <c r="B174">
        <v>200</v>
      </c>
      <c r="C174">
        <v>3</v>
      </c>
      <c r="D174">
        <f t="shared" si="10"/>
        <v>200</v>
      </c>
      <c r="E174">
        <f t="shared" si="11"/>
        <v>1</v>
      </c>
      <c r="F174" s="1">
        <f>INDEX('App-Click Conversion by Rank'!$K$12:$S$31,MATCH(E174,'App-Click Conversion by Rank'!$J$12:$J$31,0),MATCH(D174,'App-Click Conversion by Rank'!$K$11:$S$11,0))</f>
        <v>0.3141025641025641</v>
      </c>
      <c r="G174" s="3">
        <f t="shared" si="12"/>
        <v>0.94230769230769229</v>
      </c>
      <c r="H174" s="5">
        <f t="shared" si="13"/>
        <v>0.94230769230769229</v>
      </c>
      <c r="I174">
        <f t="shared" si="14"/>
        <v>3</v>
      </c>
    </row>
    <row r="175" spans="1:9" x14ac:dyDescent="0.45">
      <c r="A175">
        <v>23</v>
      </c>
      <c r="B175">
        <v>400</v>
      </c>
      <c r="C175">
        <v>1</v>
      </c>
      <c r="D175">
        <f t="shared" si="10"/>
        <v>400</v>
      </c>
      <c r="E175" t="str">
        <f t="shared" si="11"/>
        <v>20+</v>
      </c>
      <c r="F175" s="1">
        <f>INDEX('App-Click Conversion by Rank'!$K$12:$S$31,MATCH(E175,'App-Click Conversion by Rank'!$J$12:$J$31,0),MATCH(D175,'App-Click Conversion by Rank'!$K$11:$S$11,0))</f>
        <v>6.4196625091709463E-3</v>
      </c>
      <c r="G175" s="3">
        <f t="shared" si="12"/>
        <v>6.4196625091709463E-3</v>
      </c>
      <c r="H175" s="5">
        <f t="shared" si="13"/>
        <v>0.14765223771093178</v>
      </c>
      <c r="I175">
        <f t="shared" si="14"/>
        <v>23</v>
      </c>
    </row>
    <row r="176" spans="1:9" x14ac:dyDescent="0.45">
      <c r="A176">
        <v>16</v>
      </c>
      <c r="B176">
        <v>400</v>
      </c>
      <c r="C176">
        <v>2</v>
      </c>
      <c r="D176">
        <f t="shared" si="10"/>
        <v>400</v>
      </c>
      <c r="E176">
        <f t="shared" si="11"/>
        <v>16</v>
      </c>
      <c r="F176" s="1">
        <f>INDEX('App-Click Conversion by Rank'!$K$12:$S$31,MATCH(E176,'App-Click Conversion by Rank'!$J$12:$J$31,0),MATCH(D176,'App-Click Conversion by Rank'!$K$11:$S$11,0))</f>
        <v>5.9880239520958087E-3</v>
      </c>
      <c r="G176" s="3">
        <f t="shared" si="12"/>
        <v>1.1976047904191617E-2</v>
      </c>
      <c r="H176" s="5">
        <f t="shared" si="13"/>
        <v>0.19161676646706588</v>
      </c>
      <c r="I176">
        <f t="shared" si="14"/>
        <v>32</v>
      </c>
    </row>
    <row r="177" spans="1:9" x14ac:dyDescent="0.45">
      <c r="A177">
        <v>8</v>
      </c>
      <c r="B177">
        <v>350</v>
      </c>
      <c r="C177">
        <v>127</v>
      </c>
      <c r="D177">
        <f t="shared" si="10"/>
        <v>350</v>
      </c>
      <c r="E177">
        <f t="shared" si="11"/>
        <v>8</v>
      </c>
      <c r="F177" s="1">
        <f>INDEX('App-Click Conversion by Rank'!$K$12:$S$31,MATCH(E177,'App-Click Conversion by Rank'!$J$12:$J$31,0),MATCH(D177,'App-Click Conversion by Rank'!$K$11:$S$11,0))</f>
        <v>1.5720524017467249E-2</v>
      </c>
      <c r="G177" s="3">
        <f t="shared" si="12"/>
        <v>1.9965065502183408</v>
      </c>
      <c r="H177" s="5">
        <f t="shared" si="13"/>
        <v>15.972052401746726</v>
      </c>
      <c r="I177">
        <f t="shared" si="14"/>
        <v>1016</v>
      </c>
    </row>
    <row r="178" spans="1:9" x14ac:dyDescent="0.45">
      <c r="A178">
        <v>26</v>
      </c>
      <c r="B178">
        <v>550</v>
      </c>
      <c r="C178">
        <v>18</v>
      </c>
      <c r="D178" t="str">
        <f t="shared" si="10"/>
        <v>501+</v>
      </c>
      <c r="E178" t="str">
        <f t="shared" si="11"/>
        <v>20+</v>
      </c>
      <c r="F178" s="1">
        <f>INDEX('App-Click Conversion by Rank'!$K$12:$S$31,MATCH(E178,'App-Click Conversion by Rank'!$J$12:$J$31,0),MATCH(D178,'App-Click Conversion by Rank'!$K$11:$S$11,0))</f>
        <v>5.9893958237873931E-3</v>
      </c>
      <c r="G178" s="3">
        <f t="shared" si="12"/>
        <v>0.10780912482817308</v>
      </c>
      <c r="H178" s="5">
        <f t="shared" si="13"/>
        <v>2.8030372455324999</v>
      </c>
      <c r="I178">
        <f t="shared" si="14"/>
        <v>468</v>
      </c>
    </row>
    <row r="179" spans="1:9" x14ac:dyDescent="0.45">
      <c r="A179">
        <v>14</v>
      </c>
      <c r="B179">
        <v>500</v>
      </c>
      <c r="C179">
        <v>1266</v>
      </c>
      <c r="D179">
        <f t="shared" si="10"/>
        <v>500</v>
      </c>
      <c r="E179">
        <f t="shared" si="11"/>
        <v>14</v>
      </c>
      <c r="F179" s="1">
        <f>INDEX('App-Click Conversion by Rank'!$K$12:$S$31,MATCH(E179,'App-Click Conversion by Rank'!$J$12:$J$31,0),MATCH(D179,'App-Click Conversion by Rank'!$K$11:$S$11,0))</f>
        <v>4.8089420327527945E-3</v>
      </c>
      <c r="G179" s="3">
        <f t="shared" si="12"/>
        <v>6.0881206134650379</v>
      </c>
      <c r="H179" s="5">
        <f t="shared" si="13"/>
        <v>85.233688588510532</v>
      </c>
      <c r="I179">
        <f t="shared" si="14"/>
        <v>17724</v>
      </c>
    </row>
    <row r="180" spans="1:9" x14ac:dyDescent="0.45">
      <c r="A180">
        <v>12</v>
      </c>
      <c r="B180">
        <v>650</v>
      </c>
      <c r="C180">
        <v>21</v>
      </c>
      <c r="D180" t="str">
        <f t="shared" si="10"/>
        <v>501+</v>
      </c>
      <c r="E180">
        <f t="shared" si="11"/>
        <v>12</v>
      </c>
      <c r="F180" s="1">
        <f>INDEX('App-Click Conversion by Rank'!$K$12:$S$31,MATCH(E180,'App-Click Conversion by Rank'!$J$12:$J$31,0),MATCH(D180,'App-Click Conversion by Rank'!$K$11:$S$11,0))</f>
        <v>4.3071439180157435E-3</v>
      </c>
      <c r="G180" s="3">
        <f t="shared" si="12"/>
        <v>9.0450022278330613E-2</v>
      </c>
      <c r="H180" s="5">
        <f t="shared" si="13"/>
        <v>1.0854002673399674</v>
      </c>
      <c r="I180">
        <f t="shared" si="14"/>
        <v>252</v>
      </c>
    </row>
    <row r="181" spans="1:9" x14ac:dyDescent="0.45">
      <c r="A181">
        <v>11</v>
      </c>
      <c r="B181">
        <v>450</v>
      </c>
      <c r="C181">
        <v>371</v>
      </c>
      <c r="D181">
        <f t="shared" si="10"/>
        <v>450</v>
      </c>
      <c r="E181">
        <f t="shared" si="11"/>
        <v>11</v>
      </c>
      <c r="F181" s="1">
        <f>INDEX('App-Click Conversion by Rank'!$K$12:$S$31,MATCH(E181,'App-Click Conversion by Rank'!$J$12:$J$31,0),MATCH(D181,'App-Click Conversion by Rank'!$K$11:$S$11,0))</f>
        <v>5.3763440860215058E-3</v>
      </c>
      <c r="G181" s="3">
        <f t="shared" si="12"/>
        <v>1.9946236559139787</v>
      </c>
      <c r="H181" s="5">
        <f t="shared" si="13"/>
        <v>21.940860215053767</v>
      </c>
      <c r="I181">
        <f t="shared" si="14"/>
        <v>4081</v>
      </c>
    </row>
    <row r="182" spans="1:9" x14ac:dyDescent="0.45">
      <c r="A182">
        <v>14</v>
      </c>
      <c r="B182">
        <v>550</v>
      </c>
      <c r="C182">
        <v>764</v>
      </c>
      <c r="D182" t="str">
        <f t="shared" si="10"/>
        <v>501+</v>
      </c>
      <c r="E182">
        <f t="shared" si="11"/>
        <v>14</v>
      </c>
      <c r="F182" s="1">
        <f>INDEX('App-Click Conversion by Rank'!$K$12:$S$31,MATCH(E182,'App-Click Conversion by Rank'!$J$12:$J$31,0),MATCH(D182,'App-Click Conversion by Rank'!$K$11:$S$11,0))</f>
        <v>3.5937500000000002E-3</v>
      </c>
      <c r="G182" s="3">
        <f t="shared" si="12"/>
        <v>2.745625</v>
      </c>
      <c r="H182" s="5">
        <f t="shared" si="13"/>
        <v>38.438749999999999</v>
      </c>
      <c r="I182">
        <f t="shared" si="14"/>
        <v>10696</v>
      </c>
    </row>
    <row r="183" spans="1:9" x14ac:dyDescent="0.45">
      <c r="A183">
        <v>7</v>
      </c>
      <c r="B183">
        <v>450</v>
      </c>
      <c r="C183">
        <v>445</v>
      </c>
      <c r="D183">
        <f t="shared" si="10"/>
        <v>450</v>
      </c>
      <c r="E183">
        <f t="shared" si="11"/>
        <v>7</v>
      </c>
      <c r="F183" s="1">
        <f>INDEX('App-Click Conversion by Rank'!$K$12:$S$31,MATCH(E183,'App-Click Conversion by Rank'!$J$12:$J$31,0),MATCH(D183,'App-Click Conversion by Rank'!$K$11:$S$11,0))</f>
        <v>1.5087040618955513E-2</v>
      </c>
      <c r="G183" s="3">
        <f t="shared" si="12"/>
        <v>6.7137330754352034</v>
      </c>
      <c r="H183" s="5">
        <f t="shared" si="13"/>
        <v>46.996131528046426</v>
      </c>
      <c r="I183">
        <f t="shared" si="14"/>
        <v>3115</v>
      </c>
    </row>
    <row r="184" spans="1:9" x14ac:dyDescent="0.45">
      <c r="A184">
        <v>13</v>
      </c>
      <c r="B184">
        <v>600</v>
      </c>
      <c r="C184">
        <v>150</v>
      </c>
      <c r="D184" t="str">
        <f t="shared" si="10"/>
        <v>501+</v>
      </c>
      <c r="E184">
        <f t="shared" si="11"/>
        <v>13</v>
      </c>
      <c r="F184" s="1">
        <f>INDEX('App-Click Conversion by Rank'!$K$12:$S$31,MATCH(E184,'App-Click Conversion by Rank'!$J$12:$J$31,0),MATCH(D184,'App-Click Conversion by Rank'!$K$11:$S$11,0))</f>
        <v>3.8179596823457542E-3</v>
      </c>
      <c r="G184" s="3">
        <f t="shared" si="12"/>
        <v>0.57269395235186316</v>
      </c>
      <c r="H184" s="5">
        <f t="shared" si="13"/>
        <v>7.4450213805742207</v>
      </c>
      <c r="I184">
        <f t="shared" si="14"/>
        <v>1950</v>
      </c>
    </row>
    <row r="185" spans="1:9" x14ac:dyDescent="0.45">
      <c r="A185">
        <v>12</v>
      </c>
      <c r="B185">
        <v>600</v>
      </c>
      <c r="C185">
        <v>89</v>
      </c>
      <c r="D185" t="str">
        <f t="shared" si="10"/>
        <v>501+</v>
      </c>
      <c r="E185">
        <f t="shared" si="11"/>
        <v>12</v>
      </c>
      <c r="F185" s="1">
        <f>INDEX('App-Click Conversion by Rank'!$K$12:$S$31,MATCH(E185,'App-Click Conversion by Rank'!$J$12:$J$31,0),MATCH(D185,'App-Click Conversion by Rank'!$K$11:$S$11,0))</f>
        <v>4.3071439180157435E-3</v>
      </c>
      <c r="G185" s="3">
        <f t="shared" si="12"/>
        <v>0.38333580870340117</v>
      </c>
      <c r="H185" s="5">
        <f t="shared" si="13"/>
        <v>4.6000297044408143</v>
      </c>
      <c r="I185">
        <f t="shared" si="14"/>
        <v>1068</v>
      </c>
    </row>
    <row r="186" spans="1:9" x14ac:dyDescent="0.45">
      <c r="A186">
        <v>14</v>
      </c>
      <c r="B186">
        <v>450</v>
      </c>
      <c r="C186">
        <v>217</v>
      </c>
      <c r="D186">
        <f t="shared" si="10"/>
        <v>450</v>
      </c>
      <c r="E186">
        <f t="shared" si="11"/>
        <v>14</v>
      </c>
      <c r="F186" s="1">
        <f>INDEX('App-Click Conversion by Rank'!$K$12:$S$31,MATCH(E186,'App-Click Conversion by Rank'!$J$12:$J$31,0),MATCH(D186,'App-Click Conversion by Rank'!$K$11:$S$11,0))</f>
        <v>3.8513383400731755E-3</v>
      </c>
      <c r="G186" s="3">
        <f t="shared" si="12"/>
        <v>0.8357404197958791</v>
      </c>
      <c r="H186" s="5">
        <f t="shared" si="13"/>
        <v>11.700365877142307</v>
      </c>
      <c r="I186">
        <f t="shared" si="14"/>
        <v>3038</v>
      </c>
    </row>
    <row r="187" spans="1:9" x14ac:dyDescent="0.45">
      <c r="A187">
        <v>5</v>
      </c>
      <c r="B187">
        <v>400</v>
      </c>
      <c r="C187">
        <v>208</v>
      </c>
      <c r="D187">
        <f t="shared" si="10"/>
        <v>400</v>
      </c>
      <c r="E187">
        <f t="shared" si="11"/>
        <v>5</v>
      </c>
      <c r="F187" s="1">
        <f>INDEX('App-Click Conversion by Rank'!$K$12:$S$31,MATCH(E187,'App-Click Conversion by Rank'!$J$12:$J$31,0),MATCH(D187,'App-Click Conversion by Rank'!$K$11:$S$11,0))</f>
        <v>2.8956565152271591E-2</v>
      </c>
      <c r="G187" s="3">
        <f t="shared" si="12"/>
        <v>6.0229655516724909</v>
      </c>
      <c r="H187" s="5">
        <f t="shared" si="13"/>
        <v>30.114827758362456</v>
      </c>
      <c r="I187">
        <f t="shared" si="14"/>
        <v>1040</v>
      </c>
    </row>
    <row r="188" spans="1:9" x14ac:dyDescent="0.45">
      <c r="A188">
        <v>23</v>
      </c>
      <c r="B188">
        <v>500</v>
      </c>
      <c r="C188">
        <v>2</v>
      </c>
      <c r="D188">
        <f t="shared" si="10"/>
        <v>500</v>
      </c>
      <c r="E188" t="str">
        <f t="shared" si="11"/>
        <v>20+</v>
      </c>
      <c r="F188" s="1">
        <f>INDEX('App-Click Conversion by Rank'!$K$12:$S$31,MATCH(E188,'App-Click Conversion by Rank'!$J$12:$J$31,0),MATCH(D188,'App-Click Conversion by Rank'!$K$11:$S$11,0))</f>
        <v>5.1121544079290558E-3</v>
      </c>
      <c r="G188" s="3">
        <f t="shared" si="12"/>
        <v>1.0224308815858112E-2</v>
      </c>
      <c r="H188" s="5">
        <f t="shared" si="13"/>
        <v>0.23515910276473656</v>
      </c>
      <c r="I188">
        <f t="shared" si="14"/>
        <v>46</v>
      </c>
    </row>
    <row r="189" spans="1:9" x14ac:dyDescent="0.45">
      <c r="A189">
        <v>11</v>
      </c>
      <c r="B189">
        <v>300</v>
      </c>
      <c r="C189">
        <v>11</v>
      </c>
      <c r="D189">
        <f t="shared" si="10"/>
        <v>300</v>
      </c>
      <c r="E189">
        <f t="shared" si="11"/>
        <v>11</v>
      </c>
      <c r="F189" s="1">
        <f>INDEX('App-Click Conversion by Rank'!$K$12:$S$31,MATCH(E189,'App-Click Conversion by Rank'!$J$12:$J$31,0),MATCH(D189,'App-Click Conversion by Rank'!$K$11:$S$11,0))</f>
        <v>1.0526315789473684E-2</v>
      </c>
      <c r="G189" s="3">
        <f t="shared" si="12"/>
        <v>0.11578947368421053</v>
      </c>
      <c r="H189" s="5">
        <f t="shared" si="13"/>
        <v>1.2736842105263158</v>
      </c>
      <c r="I189">
        <f t="shared" si="14"/>
        <v>121</v>
      </c>
    </row>
    <row r="190" spans="1:9" x14ac:dyDescent="0.45">
      <c r="A190">
        <v>31</v>
      </c>
      <c r="B190">
        <v>550</v>
      </c>
      <c r="C190">
        <v>4</v>
      </c>
      <c r="D190" t="str">
        <f t="shared" si="10"/>
        <v>501+</v>
      </c>
      <c r="E190" t="str">
        <f t="shared" si="11"/>
        <v>20+</v>
      </c>
      <c r="F190" s="1">
        <f>INDEX('App-Click Conversion by Rank'!$K$12:$S$31,MATCH(E190,'App-Click Conversion by Rank'!$J$12:$J$31,0),MATCH(D190,'App-Click Conversion by Rank'!$K$11:$S$11,0))</f>
        <v>5.9893958237873931E-3</v>
      </c>
      <c r="G190" s="3">
        <f t="shared" si="12"/>
        <v>2.3957583295149572E-2</v>
      </c>
      <c r="H190" s="5">
        <f t="shared" si="13"/>
        <v>0.7426850821496368</v>
      </c>
      <c r="I190">
        <f t="shared" si="14"/>
        <v>124</v>
      </c>
    </row>
    <row r="191" spans="1:9" x14ac:dyDescent="0.45">
      <c r="A191">
        <v>24</v>
      </c>
      <c r="B191">
        <v>550</v>
      </c>
      <c r="C191">
        <v>7</v>
      </c>
      <c r="D191" t="str">
        <f t="shared" si="10"/>
        <v>501+</v>
      </c>
      <c r="E191" t="str">
        <f t="shared" si="11"/>
        <v>20+</v>
      </c>
      <c r="F191" s="1">
        <f>INDEX('App-Click Conversion by Rank'!$K$12:$S$31,MATCH(E191,'App-Click Conversion by Rank'!$J$12:$J$31,0),MATCH(D191,'App-Click Conversion by Rank'!$K$11:$S$11,0))</f>
        <v>5.9893958237873931E-3</v>
      </c>
      <c r="G191" s="3">
        <f t="shared" si="12"/>
        <v>4.1925770766511751E-2</v>
      </c>
      <c r="H191" s="5">
        <f t="shared" si="13"/>
        <v>1.0062184983962821</v>
      </c>
      <c r="I191">
        <f t="shared" si="14"/>
        <v>168</v>
      </c>
    </row>
    <row r="192" spans="1:9" x14ac:dyDescent="0.45">
      <c r="A192">
        <v>23</v>
      </c>
      <c r="B192">
        <v>450</v>
      </c>
      <c r="C192">
        <v>2</v>
      </c>
      <c r="D192">
        <f t="shared" si="10"/>
        <v>450</v>
      </c>
      <c r="E192" t="str">
        <f t="shared" si="11"/>
        <v>20+</v>
      </c>
      <c r="F192" s="1">
        <f>INDEX('App-Click Conversion by Rank'!$K$12:$S$31,MATCH(E192,'App-Click Conversion by Rank'!$J$12:$J$31,0),MATCH(D192,'App-Click Conversion by Rank'!$K$11:$S$11,0))</f>
        <v>5.6022408963585435E-3</v>
      </c>
      <c r="G192" s="3">
        <f t="shared" si="12"/>
        <v>1.1204481792717087E-2</v>
      </c>
      <c r="H192" s="5">
        <f t="shared" si="13"/>
        <v>0.25770308123249303</v>
      </c>
      <c r="I192">
        <f t="shared" si="14"/>
        <v>46</v>
      </c>
    </row>
    <row r="193" spans="1:9" x14ac:dyDescent="0.45">
      <c r="A193">
        <v>26</v>
      </c>
      <c r="B193">
        <v>450</v>
      </c>
      <c r="C193">
        <v>1</v>
      </c>
      <c r="D193">
        <f t="shared" si="10"/>
        <v>450</v>
      </c>
      <c r="E193" t="str">
        <f t="shared" si="11"/>
        <v>20+</v>
      </c>
      <c r="F193" s="1">
        <f>INDEX('App-Click Conversion by Rank'!$K$12:$S$31,MATCH(E193,'App-Click Conversion by Rank'!$J$12:$J$31,0),MATCH(D193,'App-Click Conversion by Rank'!$K$11:$S$11,0))</f>
        <v>5.6022408963585435E-3</v>
      </c>
      <c r="G193" s="3">
        <f t="shared" si="12"/>
        <v>5.6022408963585435E-3</v>
      </c>
      <c r="H193" s="5">
        <f t="shared" si="13"/>
        <v>0.14565826330532214</v>
      </c>
      <c r="I193">
        <f t="shared" si="14"/>
        <v>26</v>
      </c>
    </row>
    <row r="194" spans="1:9" x14ac:dyDescent="0.45">
      <c r="A194">
        <v>26</v>
      </c>
      <c r="B194">
        <v>500</v>
      </c>
      <c r="C194">
        <v>3</v>
      </c>
      <c r="D194">
        <f t="shared" si="10"/>
        <v>500</v>
      </c>
      <c r="E194" t="str">
        <f t="shared" si="11"/>
        <v>20+</v>
      </c>
      <c r="F194" s="1">
        <f>INDEX('App-Click Conversion by Rank'!$K$12:$S$31,MATCH(E194,'App-Click Conversion by Rank'!$J$12:$J$31,0),MATCH(D194,'App-Click Conversion by Rank'!$K$11:$S$11,0))</f>
        <v>5.1121544079290558E-3</v>
      </c>
      <c r="G194" s="3">
        <f t="shared" si="12"/>
        <v>1.5336463223787167E-2</v>
      </c>
      <c r="H194" s="5">
        <f t="shared" si="13"/>
        <v>0.39874804381846635</v>
      </c>
      <c r="I194">
        <f t="shared" si="14"/>
        <v>78</v>
      </c>
    </row>
    <row r="195" spans="1:9" x14ac:dyDescent="0.45">
      <c r="A195">
        <v>18</v>
      </c>
      <c r="B195">
        <v>650</v>
      </c>
      <c r="C195">
        <v>1</v>
      </c>
      <c r="D195" t="str">
        <f t="shared" ref="D195:D258" si="15">IF(B195&lt;=150,"&lt;=150",IF(B195&gt;500,"501+",B195))</f>
        <v>501+</v>
      </c>
      <c r="E195">
        <f t="shared" ref="E195:E258" si="16">IF(A195&gt;=20,"20+",A195)</f>
        <v>18</v>
      </c>
      <c r="F195" s="1">
        <f>INDEX('App-Click Conversion by Rank'!$K$12:$S$31,MATCH(E195,'App-Click Conversion by Rank'!$J$12:$J$31,0),MATCH(D195,'App-Click Conversion by Rank'!$K$11:$S$11,0))</f>
        <v>2.0408163265306124E-3</v>
      </c>
      <c r="G195" s="3">
        <f t="shared" ref="G195:G258" si="17">C195*F195</f>
        <v>2.0408163265306124E-3</v>
      </c>
      <c r="H195" s="5">
        <f t="shared" ref="H195:H258" si="18">G195*A195</f>
        <v>3.6734693877551024E-2</v>
      </c>
      <c r="I195">
        <f t="shared" ref="I195:I258" si="19">C195*A195</f>
        <v>18</v>
      </c>
    </row>
    <row r="196" spans="1:9" x14ac:dyDescent="0.45">
      <c r="A196">
        <v>25</v>
      </c>
      <c r="B196">
        <v>450</v>
      </c>
      <c r="C196">
        <v>1</v>
      </c>
      <c r="D196">
        <f t="shared" si="15"/>
        <v>450</v>
      </c>
      <c r="E196" t="str">
        <f t="shared" si="16"/>
        <v>20+</v>
      </c>
      <c r="F196" s="1">
        <f>INDEX('App-Click Conversion by Rank'!$K$12:$S$31,MATCH(E196,'App-Click Conversion by Rank'!$J$12:$J$31,0),MATCH(D196,'App-Click Conversion by Rank'!$K$11:$S$11,0))</f>
        <v>5.6022408963585435E-3</v>
      </c>
      <c r="G196" s="3">
        <f t="shared" si="17"/>
        <v>5.6022408963585435E-3</v>
      </c>
      <c r="H196" s="5">
        <f t="shared" si="18"/>
        <v>0.14005602240896359</v>
      </c>
      <c r="I196">
        <f t="shared" si="19"/>
        <v>25</v>
      </c>
    </row>
    <row r="197" spans="1:9" x14ac:dyDescent="0.45">
      <c r="A197">
        <v>31</v>
      </c>
      <c r="B197">
        <v>450</v>
      </c>
      <c r="C197">
        <v>1</v>
      </c>
      <c r="D197">
        <f t="shared" si="15"/>
        <v>450</v>
      </c>
      <c r="E197" t="str">
        <f t="shared" si="16"/>
        <v>20+</v>
      </c>
      <c r="F197" s="1">
        <f>INDEX('App-Click Conversion by Rank'!$K$12:$S$31,MATCH(E197,'App-Click Conversion by Rank'!$J$12:$J$31,0),MATCH(D197,'App-Click Conversion by Rank'!$K$11:$S$11,0))</f>
        <v>5.6022408963585435E-3</v>
      </c>
      <c r="G197" s="3">
        <f t="shared" si="17"/>
        <v>5.6022408963585435E-3</v>
      </c>
      <c r="H197" s="5">
        <f t="shared" si="18"/>
        <v>0.17366946778711484</v>
      </c>
      <c r="I197">
        <f t="shared" si="19"/>
        <v>31</v>
      </c>
    </row>
    <row r="198" spans="1:9" x14ac:dyDescent="0.45">
      <c r="A198">
        <v>16</v>
      </c>
      <c r="B198">
        <v>350</v>
      </c>
      <c r="C198">
        <v>1</v>
      </c>
      <c r="D198">
        <f t="shared" si="15"/>
        <v>350</v>
      </c>
      <c r="E198">
        <f t="shared" si="16"/>
        <v>16</v>
      </c>
      <c r="F198" s="1">
        <f>INDEX('App-Click Conversion by Rank'!$K$12:$S$31,MATCH(E198,'App-Click Conversion by Rank'!$J$12:$J$31,0),MATCH(D198,'App-Click Conversion by Rank'!$K$11:$S$11,0))</f>
        <v>2.2658610271903325E-3</v>
      </c>
      <c r="G198" s="3">
        <f t="shared" si="17"/>
        <v>2.2658610271903325E-3</v>
      </c>
      <c r="H198" s="5">
        <f t="shared" si="18"/>
        <v>3.6253776435045321E-2</v>
      </c>
      <c r="I198">
        <f t="shared" si="19"/>
        <v>16</v>
      </c>
    </row>
    <row r="199" spans="1:9" x14ac:dyDescent="0.45">
      <c r="A199">
        <v>13</v>
      </c>
      <c r="B199">
        <v>450</v>
      </c>
      <c r="C199">
        <v>587</v>
      </c>
      <c r="D199">
        <f t="shared" si="15"/>
        <v>450</v>
      </c>
      <c r="E199">
        <f t="shared" si="16"/>
        <v>13</v>
      </c>
      <c r="F199" s="1">
        <f>INDEX('App-Click Conversion by Rank'!$K$12:$S$31,MATCH(E199,'App-Click Conversion by Rank'!$J$12:$J$31,0),MATCH(D199,'App-Click Conversion by Rank'!$K$11:$S$11,0))</f>
        <v>3.8468583989741713E-3</v>
      </c>
      <c r="G199" s="3">
        <f t="shared" si="17"/>
        <v>2.2581058801978386</v>
      </c>
      <c r="H199" s="5">
        <f t="shared" si="18"/>
        <v>29.355376442571902</v>
      </c>
      <c r="I199">
        <f t="shared" si="19"/>
        <v>7631</v>
      </c>
    </row>
    <row r="200" spans="1:9" x14ac:dyDescent="0.45">
      <c r="A200">
        <v>12</v>
      </c>
      <c r="B200">
        <v>550</v>
      </c>
      <c r="C200">
        <v>713</v>
      </c>
      <c r="D200" t="str">
        <f t="shared" si="15"/>
        <v>501+</v>
      </c>
      <c r="E200">
        <f t="shared" si="16"/>
        <v>12</v>
      </c>
      <c r="F200" s="1">
        <f>INDEX('App-Click Conversion by Rank'!$K$12:$S$31,MATCH(E200,'App-Click Conversion by Rank'!$J$12:$J$31,0),MATCH(D200,'App-Click Conversion by Rank'!$K$11:$S$11,0))</f>
        <v>4.3071439180157435E-3</v>
      </c>
      <c r="G200" s="3">
        <f t="shared" si="17"/>
        <v>3.0709936135452249</v>
      </c>
      <c r="H200" s="5">
        <f t="shared" si="18"/>
        <v>36.851923362542699</v>
      </c>
      <c r="I200">
        <f t="shared" si="19"/>
        <v>8556</v>
      </c>
    </row>
    <row r="201" spans="1:9" x14ac:dyDescent="0.45">
      <c r="A201">
        <v>4</v>
      </c>
      <c r="B201">
        <v>400</v>
      </c>
      <c r="C201">
        <v>213</v>
      </c>
      <c r="D201">
        <f t="shared" si="15"/>
        <v>400</v>
      </c>
      <c r="E201">
        <f t="shared" si="16"/>
        <v>4</v>
      </c>
      <c r="F201" s="1">
        <f>INDEX('App-Click Conversion by Rank'!$K$12:$S$31,MATCH(E201,'App-Click Conversion by Rank'!$J$12:$J$31,0),MATCH(D201,'App-Click Conversion by Rank'!$K$11:$S$11,0))</f>
        <v>4.4208524797971792E-2</v>
      </c>
      <c r="G201" s="3">
        <f t="shared" si="17"/>
        <v>9.4164157819679914</v>
      </c>
      <c r="H201" s="5">
        <f t="shared" si="18"/>
        <v>37.665663127871966</v>
      </c>
      <c r="I201">
        <f t="shared" si="19"/>
        <v>852</v>
      </c>
    </row>
    <row r="202" spans="1:9" x14ac:dyDescent="0.45">
      <c r="A202">
        <v>12</v>
      </c>
      <c r="B202">
        <v>500</v>
      </c>
      <c r="C202">
        <v>925</v>
      </c>
      <c r="D202">
        <f t="shared" si="15"/>
        <v>500</v>
      </c>
      <c r="E202">
        <f t="shared" si="16"/>
        <v>12</v>
      </c>
      <c r="F202" s="1">
        <f>INDEX('App-Click Conversion by Rank'!$K$12:$S$31,MATCH(E202,'App-Click Conversion by Rank'!$J$12:$J$31,0),MATCH(D202,'App-Click Conversion by Rank'!$K$11:$S$11,0))</f>
        <v>3.7671649046056629E-3</v>
      </c>
      <c r="G202" s="3">
        <f t="shared" si="17"/>
        <v>3.4846275367602382</v>
      </c>
      <c r="H202" s="5">
        <f t="shared" si="18"/>
        <v>41.81553044112286</v>
      </c>
      <c r="I202">
        <f t="shared" si="19"/>
        <v>11100</v>
      </c>
    </row>
    <row r="203" spans="1:9" x14ac:dyDescent="0.45">
      <c r="A203">
        <v>7</v>
      </c>
      <c r="B203">
        <v>400</v>
      </c>
      <c r="C203">
        <v>270</v>
      </c>
      <c r="D203">
        <f t="shared" si="15"/>
        <v>400</v>
      </c>
      <c r="E203">
        <f t="shared" si="16"/>
        <v>7</v>
      </c>
      <c r="F203" s="1">
        <f>INDEX('App-Click Conversion by Rank'!$K$12:$S$31,MATCH(E203,'App-Click Conversion by Rank'!$J$12:$J$31,0),MATCH(D203,'App-Click Conversion by Rank'!$K$11:$S$11,0))</f>
        <v>1.7432358816052297E-2</v>
      </c>
      <c r="G203" s="3">
        <f t="shared" si="17"/>
        <v>4.7067368803341205</v>
      </c>
      <c r="H203" s="5">
        <f t="shared" si="18"/>
        <v>32.947158162338845</v>
      </c>
      <c r="I203">
        <f t="shared" si="19"/>
        <v>1890</v>
      </c>
    </row>
    <row r="204" spans="1:9" x14ac:dyDescent="0.45">
      <c r="A204">
        <v>6</v>
      </c>
      <c r="B204">
        <v>400</v>
      </c>
      <c r="C204">
        <v>442</v>
      </c>
      <c r="D204">
        <f t="shared" si="15"/>
        <v>400</v>
      </c>
      <c r="E204">
        <f t="shared" si="16"/>
        <v>6</v>
      </c>
      <c r="F204" s="1">
        <f>INDEX('App-Click Conversion by Rank'!$K$12:$S$31,MATCH(E204,'App-Click Conversion by Rank'!$J$12:$J$31,0),MATCH(D204,'App-Click Conversion by Rank'!$K$11:$S$11,0))</f>
        <v>2.3052741879147746E-2</v>
      </c>
      <c r="G204" s="3">
        <f t="shared" si="17"/>
        <v>10.189311910583303</v>
      </c>
      <c r="H204" s="5">
        <f t="shared" si="18"/>
        <v>61.135871463499818</v>
      </c>
      <c r="I204">
        <f t="shared" si="19"/>
        <v>2652</v>
      </c>
    </row>
    <row r="205" spans="1:9" x14ac:dyDescent="0.45">
      <c r="A205">
        <v>8</v>
      </c>
      <c r="B205">
        <v>300</v>
      </c>
      <c r="C205">
        <v>35</v>
      </c>
      <c r="D205">
        <f t="shared" si="15"/>
        <v>300</v>
      </c>
      <c r="E205">
        <f t="shared" si="16"/>
        <v>8</v>
      </c>
      <c r="F205" s="1">
        <f>INDEX('App-Click Conversion by Rank'!$K$12:$S$31,MATCH(E205,'App-Click Conversion by Rank'!$J$12:$J$31,0),MATCH(D205,'App-Click Conversion by Rank'!$K$11:$S$11,0))</f>
        <v>2.3454157782515993E-2</v>
      </c>
      <c r="G205" s="3">
        <f t="shared" si="17"/>
        <v>0.82089552238805974</v>
      </c>
      <c r="H205" s="5">
        <f t="shared" si="18"/>
        <v>6.5671641791044779</v>
      </c>
      <c r="I205">
        <f t="shared" si="19"/>
        <v>280</v>
      </c>
    </row>
    <row r="206" spans="1:9" x14ac:dyDescent="0.45">
      <c r="A206">
        <v>19</v>
      </c>
      <c r="B206">
        <v>450</v>
      </c>
      <c r="C206">
        <v>12</v>
      </c>
      <c r="D206">
        <f t="shared" si="15"/>
        <v>450</v>
      </c>
      <c r="E206">
        <f t="shared" si="16"/>
        <v>19</v>
      </c>
      <c r="F206" s="1">
        <f>INDEX('App-Click Conversion by Rank'!$K$12:$S$31,MATCH(E206,'App-Click Conversion by Rank'!$J$12:$J$31,0),MATCH(D206,'App-Click Conversion by Rank'!$K$11:$S$11,0))</f>
        <v>2.8593709383935534E-3</v>
      </c>
      <c r="G206" s="3">
        <f t="shared" si="17"/>
        <v>3.4312451260722639E-2</v>
      </c>
      <c r="H206" s="5">
        <f t="shared" si="18"/>
        <v>0.65193657395373017</v>
      </c>
      <c r="I206">
        <f t="shared" si="19"/>
        <v>228</v>
      </c>
    </row>
    <row r="207" spans="1:9" x14ac:dyDescent="0.45">
      <c r="A207">
        <v>9</v>
      </c>
      <c r="B207">
        <v>400</v>
      </c>
      <c r="C207">
        <v>214</v>
      </c>
      <c r="D207">
        <f t="shared" si="15"/>
        <v>400</v>
      </c>
      <c r="E207">
        <f t="shared" si="16"/>
        <v>9</v>
      </c>
      <c r="F207" s="1">
        <f>INDEX('App-Click Conversion by Rank'!$K$12:$S$31,MATCH(E207,'App-Click Conversion by Rank'!$J$12:$J$31,0),MATCH(D207,'App-Click Conversion by Rank'!$K$11:$S$11,0))</f>
        <v>1.1405207660856467E-2</v>
      </c>
      <c r="G207" s="3">
        <f t="shared" si="17"/>
        <v>2.4407144394232838</v>
      </c>
      <c r="H207" s="5">
        <f t="shared" si="18"/>
        <v>21.966429954809556</v>
      </c>
      <c r="I207">
        <f t="shared" si="19"/>
        <v>1926</v>
      </c>
    </row>
    <row r="208" spans="1:9" x14ac:dyDescent="0.45">
      <c r="A208">
        <v>2</v>
      </c>
      <c r="B208">
        <v>400</v>
      </c>
      <c r="C208">
        <v>175</v>
      </c>
      <c r="D208">
        <f t="shared" si="15"/>
        <v>400</v>
      </c>
      <c r="E208">
        <f t="shared" si="16"/>
        <v>2</v>
      </c>
      <c r="F208" s="1">
        <f>INDEX('App-Click Conversion by Rank'!$K$12:$S$31,MATCH(E208,'App-Click Conversion by Rank'!$J$12:$J$31,0),MATCH(D208,'App-Click Conversion by Rank'!$K$11:$S$11,0))</f>
        <v>8.940352766931467E-2</v>
      </c>
      <c r="G208" s="3">
        <f t="shared" si="17"/>
        <v>15.645617342130068</v>
      </c>
      <c r="H208" s="5">
        <f t="shared" si="18"/>
        <v>31.291234684260136</v>
      </c>
      <c r="I208">
        <f t="shared" si="19"/>
        <v>350</v>
      </c>
    </row>
    <row r="209" spans="1:9" x14ac:dyDescent="0.45">
      <c r="A209">
        <v>18</v>
      </c>
      <c r="B209">
        <v>550</v>
      </c>
      <c r="C209">
        <v>63</v>
      </c>
      <c r="D209" t="str">
        <f t="shared" si="15"/>
        <v>501+</v>
      </c>
      <c r="E209">
        <f t="shared" si="16"/>
        <v>18</v>
      </c>
      <c r="F209" s="1">
        <f>INDEX('App-Click Conversion by Rank'!$K$12:$S$31,MATCH(E209,'App-Click Conversion by Rank'!$J$12:$J$31,0),MATCH(D209,'App-Click Conversion by Rank'!$K$11:$S$11,0))</f>
        <v>2.0408163265306124E-3</v>
      </c>
      <c r="G209" s="3">
        <f t="shared" si="17"/>
        <v>0.12857142857142859</v>
      </c>
      <c r="H209" s="5">
        <f t="shared" si="18"/>
        <v>2.3142857142857145</v>
      </c>
      <c r="I209">
        <f t="shared" si="19"/>
        <v>1134</v>
      </c>
    </row>
    <row r="210" spans="1:9" x14ac:dyDescent="0.45">
      <c r="A210">
        <v>19</v>
      </c>
      <c r="B210">
        <v>550</v>
      </c>
      <c r="C210">
        <v>52</v>
      </c>
      <c r="D210" t="str">
        <f t="shared" si="15"/>
        <v>501+</v>
      </c>
      <c r="E210">
        <f t="shared" si="16"/>
        <v>19</v>
      </c>
      <c r="F210" s="1">
        <f>INDEX('App-Click Conversion by Rank'!$K$12:$S$31,MATCH(E210,'App-Click Conversion by Rank'!$J$12:$J$31,0),MATCH(D210,'App-Click Conversion by Rank'!$K$11:$S$11,0))</f>
        <v>2.8030833917309038E-3</v>
      </c>
      <c r="G210" s="3">
        <f t="shared" si="17"/>
        <v>0.14576033637000699</v>
      </c>
      <c r="H210" s="5">
        <f t="shared" si="18"/>
        <v>2.7694463910301326</v>
      </c>
      <c r="I210">
        <f t="shared" si="19"/>
        <v>988</v>
      </c>
    </row>
    <row r="211" spans="1:9" x14ac:dyDescent="0.45">
      <c r="A211">
        <v>29</v>
      </c>
      <c r="B211">
        <v>450</v>
      </c>
      <c r="C211">
        <v>2</v>
      </c>
      <c r="D211">
        <f t="shared" si="15"/>
        <v>450</v>
      </c>
      <c r="E211" t="str">
        <f t="shared" si="16"/>
        <v>20+</v>
      </c>
      <c r="F211" s="1">
        <f>INDEX('App-Click Conversion by Rank'!$K$12:$S$31,MATCH(E211,'App-Click Conversion by Rank'!$J$12:$J$31,0),MATCH(D211,'App-Click Conversion by Rank'!$K$11:$S$11,0))</f>
        <v>5.6022408963585435E-3</v>
      </c>
      <c r="G211" s="3">
        <f t="shared" si="17"/>
        <v>1.1204481792717087E-2</v>
      </c>
      <c r="H211" s="5">
        <f t="shared" si="18"/>
        <v>0.32492997198879553</v>
      </c>
      <c r="I211">
        <f t="shared" si="19"/>
        <v>58</v>
      </c>
    </row>
    <row r="212" spans="1:9" x14ac:dyDescent="0.45">
      <c r="A212">
        <v>19</v>
      </c>
      <c r="B212">
        <v>500</v>
      </c>
      <c r="C212">
        <v>36</v>
      </c>
      <c r="D212">
        <f t="shared" si="15"/>
        <v>500</v>
      </c>
      <c r="E212">
        <f t="shared" si="16"/>
        <v>19</v>
      </c>
      <c r="F212" s="1">
        <f>INDEX('App-Click Conversion by Rank'!$K$12:$S$31,MATCH(E212,'App-Click Conversion by Rank'!$J$12:$J$31,0),MATCH(D212,'App-Click Conversion by Rank'!$K$11:$S$11,0))</f>
        <v>3.4848724853476952E-3</v>
      </c>
      <c r="G212" s="3">
        <f t="shared" si="17"/>
        <v>0.12545540947251702</v>
      </c>
      <c r="H212" s="5">
        <f t="shared" si="18"/>
        <v>2.3836527799778233</v>
      </c>
      <c r="I212">
        <f t="shared" si="19"/>
        <v>684</v>
      </c>
    </row>
    <row r="213" spans="1:9" x14ac:dyDescent="0.45">
      <c r="A213">
        <v>3</v>
      </c>
      <c r="B213">
        <v>600</v>
      </c>
      <c r="C213">
        <v>19</v>
      </c>
      <c r="D213" t="str">
        <f t="shared" si="15"/>
        <v>501+</v>
      </c>
      <c r="E213">
        <f t="shared" si="16"/>
        <v>3</v>
      </c>
      <c r="F213" s="1">
        <f>INDEX('App-Click Conversion by Rank'!$K$12:$S$31,MATCH(E213,'App-Click Conversion by Rank'!$J$12:$J$31,0),MATCH(D213,'App-Click Conversion by Rank'!$K$11:$S$11,0))</f>
        <v>4.4627885979620793E-2</v>
      </c>
      <c r="G213" s="3">
        <f t="shared" si="17"/>
        <v>0.84792983361279506</v>
      </c>
      <c r="H213" s="5">
        <f t="shared" si="18"/>
        <v>2.5437895008383853</v>
      </c>
      <c r="I213">
        <f t="shared" si="19"/>
        <v>57</v>
      </c>
    </row>
    <row r="214" spans="1:9" x14ac:dyDescent="0.45">
      <c r="A214">
        <v>10</v>
      </c>
      <c r="B214">
        <v>600</v>
      </c>
      <c r="C214">
        <v>24</v>
      </c>
      <c r="D214" t="str">
        <f t="shared" si="15"/>
        <v>501+</v>
      </c>
      <c r="E214">
        <f t="shared" si="16"/>
        <v>10</v>
      </c>
      <c r="F214" s="1">
        <f>INDEX('App-Click Conversion by Rank'!$K$12:$S$31,MATCH(E214,'App-Click Conversion by Rank'!$J$12:$J$31,0),MATCH(D214,'App-Click Conversion by Rank'!$K$11:$S$11,0))</f>
        <v>7.1592210767468497E-3</v>
      </c>
      <c r="G214" s="3">
        <f t="shared" si="17"/>
        <v>0.1718213058419244</v>
      </c>
      <c r="H214" s="5">
        <f t="shared" si="18"/>
        <v>1.7182130584192441</v>
      </c>
      <c r="I214">
        <f t="shared" si="19"/>
        <v>240</v>
      </c>
    </row>
    <row r="215" spans="1:9" x14ac:dyDescent="0.45">
      <c r="A215">
        <v>3</v>
      </c>
      <c r="B215">
        <v>150</v>
      </c>
      <c r="C215">
        <v>15</v>
      </c>
      <c r="D215" t="str">
        <f t="shared" si="15"/>
        <v>&lt;=150</v>
      </c>
      <c r="E215">
        <f t="shared" si="16"/>
        <v>3</v>
      </c>
      <c r="F215" s="1">
        <f>INDEX('App-Click Conversion by Rank'!$K$12:$S$31,MATCH(E215,'App-Click Conversion by Rank'!$J$12:$J$31,0),MATCH(D215,'App-Click Conversion by Rank'!$K$11:$S$11,0))</f>
        <v>9.8360655737704916E-2</v>
      </c>
      <c r="G215" s="3">
        <f t="shared" si="17"/>
        <v>1.4754098360655736</v>
      </c>
      <c r="H215" s="5">
        <f t="shared" si="18"/>
        <v>4.4262295081967213</v>
      </c>
      <c r="I215">
        <f t="shared" si="19"/>
        <v>45</v>
      </c>
    </row>
    <row r="216" spans="1:9" x14ac:dyDescent="0.45">
      <c r="A216">
        <v>29</v>
      </c>
      <c r="B216">
        <v>550</v>
      </c>
      <c r="C216">
        <v>6</v>
      </c>
      <c r="D216" t="str">
        <f t="shared" si="15"/>
        <v>501+</v>
      </c>
      <c r="E216" t="str">
        <f t="shared" si="16"/>
        <v>20+</v>
      </c>
      <c r="F216" s="1">
        <f>INDEX('App-Click Conversion by Rank'!$K$12:$S$31,MATCH(E216,'App-Click Conversion by Rank'!$J$12:$J$31,0),MATCH(D216,'App-Click Conversion by Rank'!$K$11:$S$11,0))</f>
        <v>5.9893958237873931E-3</v>
      </c>
      <c r="G216" s="3">
        <f t="shared" si="17"/>
        <v>3.5936374942724357E-2</v>
      </c>
      <c r="H216" s="5">
        <f t="shared" si="18"/>
        <v>1.0421548733390062</v>
      </c>
      <c r="I216">
        <f t="shared" si="19"/>
        <v>174</v>
      </c>
    </row>
    <row r="217" spans="1:9" x14ac:dyDescent="0.45">
      <c r="A217">
        <v>15</v>
      </c>
      <c r="B217">
        <v>500</v>
      </c>
      <c r="C217">
        <v>169</v>
      </c>
      <c r="D217">
        <f t="shared" si="15"/>
        <v>500</v>
      </c>
      <c r="E217">
        <f t="shared" si="16"/>
        <v>15</v>
      </c>
      <c r="F217" s="1">
        <f>INDEX('App-Click Conversion by Rank'!$K$12:$S$31,MATCH(E217,'App-Click Conversion by Rank'!$J$12:$J$31,0),MATCH(D217,'App-Click Conversion by Rank'!$K$11:$S$11,0))</f>
        <v>4.7119009154550353E-3</v>
      </c>
      <c r="G217" s="3">
        <f t="shared" si="17"/>
        <v>0.79631125471190101</v>
      </c>
      <c r="H217" s="5">
        <f t="shared" si="18"/>
        <v>11.944668820678515</v>
      </c>
      <c r="I217">
        <f t="shared" si="19"/>
        <v>2535</v>
      </c>
    </row>
    <row r="218" spans="1:9" x14ac:dyDescent="0.45">
      <c r="A218">
        <v>6</v>
      </c>
      <c r="B218">
        <v>300</v>
      </c>
      <c r="C218">
        <v>176</v>
      </c>
      <c r="D218">
        <f t="shared" si="15"/>
        <v>300</v>
      </c>
      <c r="E218">
        <f t="shared" si="16"/>
        <v>6</v>
      </c>
      <c r="F218" s="1">
        <f>INDEX('App-Click Conversion by Rank'!$K$12:$S$31,MATCH(E218,'App-Click Conversion by Rank'!$J$12:$J$31,0),MATCH(D218,'App-Click Conversion by Rank'!$K$11:$S$11,0))</f>
        <v>3.6284470246734396E-2</v>
      </c>
      <c r="G218" s="3">
        <f t="shared" si="17"/>
        <v>6.3860667634252533</v>
      </c>
      <c r="H218" s="5">
        <f t="shared" si="18"/>
        <v>38.316400580551516</v>
      </c>
      <c r="I218">
        <f t="shared" si="19"/>
        <v>1056</v>
      </c>
    </row>
    <row r="219" spans="1:9" x14ac:dyDescent="0.45">
      <c r="A219">
        <v>9</v>
      </c>
      <c r="B219">
        <v>350</v>
      </c>
      <c r="C219">
        <v>59</v>
      </c>
      <c r="D219">
        <f t="shared" si="15"/>
        <v>350</v>
      </c>
      <c r="E219">
        <f t="shared" si="16"/>
        <v>9</v>
      </c>
      <c r="F219" s="1">
        <f>INDEX('App-Click Conversion by Rank'!$K$12:$S$31,MATCH(E219,'App-Click Conversion by Rank'!$J$12:$J$31,0),MATCH(D219,'App-Click Conversion by Rank'!$K$11:$S$11,0))</f>
        <v>1.4294996751137101E-2</v>
      </c>
      <c r="G219" s="3">
        <f t="shared" si="17"/>
        <v>0.84340480831708897</v>
      </c>
      <c r="H219" s="5">
        <f t="shared" si="18"/>
        <v>7.5906432748538011</v>
      </c>
      <c r="I219">
        <f t="shared" si="19"/>
        <v>531</v>
      </c>
    </row>
    <row r="220" spans="1:9" x14ac:dyDescent="0.45">
      <c r="A220">
        <v>11</v>
      </c>
      <c r="B220">
        <v>350</v>
      </c>
      <c r="C220">
        <v>48</v>
      </c>
      <c r="D220">
        <f t="shared" si="15"/>
        <v>350</v>
      </c>
      <c r="E220">
        <f t="shared" si="16"/>
        <v>11</v>
      </c>
      <c r="F220" s="1">
        <f>INDEX('App-Click Conversion by Rank'!$K$12:$S$31,MATCH(E220,'App-Click Conversion by Rank'!$J$12:$J$31,0),MATCH(D220,'App-Click Conversion by Rank'!$K$11:$S$11,0))</f>
        <v>1.101141924959217E-2</v>
      </c>
      <c r="G220" s="3">
        <f t="shared" si="17"/>
        <v>0.52854812398042417</v>
      </c>
      <c r="H220" s="5">
        <f t="shared" si="18"/>
        <v>5.8140293637846661</v>
      </c>
      <c r="I220">
        <f t="shared" si="19"/>
        <v>528</v>
      </c>
    </row>
    <row r="221" spans="1:9" x14ac:dyDescent="0.45">
      <c r="A221">
        <v>5</v>
      </c>
      <c r="B221">
        <v>450</v>
      </c>
      <c r="C221">
        <v>293</v>
      </c>
      <c r="D221">
        <f t="shared" si="15"/>
        <v>450</v>
      </c>
      <c r="E221">
        <f t="shared" si="16"/>
        <v>5</v>
      </c>
      <c r="F221" s="1">
        <f>INDEX('App-Click Conversion by Rank'!$K$12:$S$31,MATCH(E221,'App-Click Conversion by Rank'!$J$12:$J$31,0),MATCH(D221,'App-Click Conversion by Rank'!$K$11:$S$11,0))</f>
        <v>2.576881001580163E-2</v>
      </c>
      <c r="G221" s="3">
        <f t="shared" si="17"/>
        <v>7.5502613346298775</v>
      </c>
      <c r="H221" s="5">
        <f t="shared" si="18"/>
        <v>37.751306673149386</v>
      </c>
      <c r="I221">
        <f t="shared" si="19"/>
        <v>1465</v>
      </c>
    </row>
    <row r="222" spans="1:9" x14ac:dyDescent="0.45">
      <c r="A222">
        <v>14</v>
      </c>
      <c r="B222">
        <v>600</v>
      </c>
      <c r="C222">
        <v>136</v>
      </c>
      <c r="D222" t="str">
        <f t="shared" si="15"/>
        <v>501+</v>
      </c>
      <c r="E222">
        <f t="shared" si="16"/>
        <v>14</v>
      </c>
      <c r="F222" s="1">
        <f>INDEX('App-Click Conversion by Rank'!$K$12:$S$31,MATCH(E222,'App-Click Conversion by Rank'!$J$12:$J$31,0),MATCH(D222,'App-Click Conversion by Rank'!$K$11:$S$11,0))</f>
        <v>3.5937500000000002E-3</v>
      </c>
      <c r="G222" s="3">
        <f t="shared" si="17"/>
        <v>0.48875000000000002</v>
      </c>
      <c r="H222" s="5">
        <f t="shared" si="18"/>
        <v>6.8425000000000002</v>
      </c>
      <c r="I222">
        <f t="shared" si="19"/>
        <v>1904</v>
      </c>
    </row>
    <row r="223" spans="1:9" x14ac:dyDescent="0.45">
      <c r="A223">
        <v>15</v>
      </c>
      <c r="B223">
        <v>550</v>
      </c>
      <c r="C223">
        <v>208</v>
      </c>
      <c r="D223" t="str">
        <f t="shared" si="15"/>
        <v>501+</v>
      </c>
      <c r="E223">
        <f t="shared" si="16"/>
        <v>15</v>
      </c>
      <c r="F223" s="1">
        <f>INDEX('App-Click Conversion by Rank'!$K$12:$S$31,MATCH(E223,'App-Click Conversion by Rank'!$J$12:$J$31,0),MATCH(D223,'App-Click Conversion by Rank'!$K$11:$S$11,0))</f>
        <v>3.3794657225619568E-3</v>
      </c>
      <c r="G223" s="3">
        <f t="shared" si="17"/>
        <v>0.70292887029288698</v>
      </c>
      <c r="H223" s="5">
        <f t="shared" si="18"/>
        <v>10.543933054393305</v>
      </c>
      <c r="I223">
        <f t="shared" si="19"/>
        <v>3120</v>
      </c>
    </row>
    <row r="224" spans="1:9" x14ac:dyDescent="0.45">
      <c r="A224">
        <v>7</v>
      </c>
      <c r="B224">
        <v>350</v>
      </c>
      <c r="C224">
        <v>159</v>
      </c>
      <c r="D224">
        <f t="shared" si="15"/>
        <v>350</v>
      </c>
      <c r="E224">
        <f t="shared" si="16"/>
        <v>7</v>
      </c>
      <c r="F224" s="1">
        <f>INDEX('App-Click Conversion by Rank'!$K$12:$S$31,MATCH(E224,'App-Click Conversion by Rank'!$J$12:$J$31,0),MATCH(D224,'App-Click Conversion by Rank'!$K$11:$S$11,0))</f>
        <v>2.2263450834879406E-2</v>
      </c>
      <c r="G224" s="3">
        <f t="shared" si="17"/>
        <v>3.5398886827458256</v>
      </c>
      <c r="H224" s="5">
        <f t="shared" si="18"/>
        <v>24.779220779220779</v>
      </c>
      <c r="I224">
        <f t="shared" si="19"/>
        <v>1113</v>
      </c>
    </row>
    <row r="225" spans="1:9" x14ac:dyDescent="0.45">
      <c r="A225">
        <v>4</v>
      </c>
      <c r="B225">
        <v>450</v>
      </c>
      <c r="C225">
        <v>332</v>
      </c>
      <c r="D225">
        <f t="shared" si="15"/>
        <v>450</v>
      </c>
      <c r="E225">
        <f t="shared" si="16"/>
        <v>4</v>
      </c>
      <c r="F225" s="1">
        <f>INDEX('App-Click Conversion by Rank'!$K$12:$S$31,MATCH(E225,'App-Click Conversion by Rank'!$J$12:$J$31,0),MATCH(D225,'App-Click Conversion by Rank'!$K$11:$S$11,0))</f>
        <v>3.7920850561134083E-2</v>
      </c>
      <c r="G225" s="3">
        <f t="shared" si="17"/>
        <v>12.589722386296515</v>
      </c>
      <c r="H225" s="5">
        <f t="shared" si="18"/>
        <v>50.358889545186059</v>
      </c>
      <c r="I225">
        <f t="shared" si="19"/>
        <v>1328</v>
      </c>
    </row>
    <row r="226" spans="1:9" x14ac:dyDescent="0.45">
      <c r="A226">
        <v>7</v>
      </c>
      <c r="B226">
        <v>300</v>
      </c>
      <c r="C226">
        <v>115</v>
      </c>
      <c r="D226">
        <f t="shared" si="15"/>
        <v>300</v>
      </c>
      <c r="E226">
        <f t="shared" si="16"/>
        <v>7</v>
      </c>
      <c r="F226" s="1">
        <f>INDEX('App-Click Conversion by Rank'!$K$12:$S$31,MATCH(E226,'App-Click Conversion by Rank'!$J$12:$J$31,0),MATCH(D226,'App-Click Conversion by Rank'!$K$11:$S$11,0))</f>
        <v>3.3102386451116246E-2</v>
      </c>
      <c r="G226" s="3">
        <f t="shared" si="17"/>
        <v>3.8067744418783684</v>
      </c>
      <c r="H226" s="5">
        <f t="shared" si="18"/>
        <v>26.64742109314858</v>
      </c>
      <c r="I226">
        <f t="shared" si="19"/>
        <v>805</v>
      </c>
    </row>
    <row r="227" spans="1:9" x14ac:dyDescent="0.45">
      <c r="A227">
        <v>30</v>
      </c>
      <c r="B227">
        <v>550</v>
      </c>
      <c r="C227">
        <v>2</v>
      </c>
      <c r="D227" t="str">
        <f t="shared" si="15"/>
        <v>501+</v>
      </c>
      <c r="E227" t="str">
        <f t="shared" si="16"/>
        <v>20+</v>
      </c>
      <c r="F227" s="1">
        <f>INDEX('App-Click Conversion by Rank'!$K$12:$S$31,MATCH(E227,'App-Click Conversion by Rank'!$J$12:$J$31,0),MATCH(D227,'App-Click Conversion by Rank'!$K$11:$S$11,0))</f>
        <v>5.9893958237873931E-3</v>
      </c>
      <c r="G227" s="3">
        <f t="shared" si="17"/>
        <v>1.1978791647574786E-2</v>
      </c>
      <c r="H227" s="5">
        <f t="shared" si="18"/>
        <v>0.35936374942724358</v>
      </c>
      <c r="I227">
        <f t="shared" si="19"/>
        <v>60</v>
      </c>
    </row>
    <row r="228" spans="1:9" x14ac:dyDescent="0.45">
      <c r="A228">
        <v>4</v>
      </c>
      <c r="B228">
        <v>350</v>
      </c>
      <c r="C228">
        <v>137</v>
      </c>
      <c r="D228">
        <f t="shared" si="15"/>
        <v>350</v>
      </c>
      <c r="E228">
        <f t="shared" si="16"/>
        <v>4</v>
      </c>
      <c r="F228" s="1">
        <f>INDEX('App-Click Conversion by Rank'!$K$12:$S$31,MATCH(E228,'App-Click Conversion by Rank'!$J$12:$J$31,0),MATCH(D228,'App-Click Conversion by Rank'!$K$11:$S$11,0))</f>
        <v>5.6047851129818346E-2</v>
      </c>
      <c r="G228" s="3">
        <f t="shared" si="17"/>
        <v>7.6785556047851138</v>
      </c>
      <c r="H228" s="5">
        <f t="shared" si="18"/>
        <v>30.714222419140455</v>
      </c>
      <c r="I228">
        <f t="shared" si="19"/>
        <v>548</v>
      </c>
    </row>
    <row r="229" spans="1:9" x14ac:dyDescent="0.45">
      <c r="A229">
        <v>9</v>
      </c>
      <c r="B229">
        <v>300</v>
      </c>
      <c r="C229">
        <v>23</v>
      </c>
      <c r="D229">
        <f t="shared" si="15"/>
        <v>300</v>
      </c>
      <c r="E229">
        <f t="shared" si="16"/>
        <v>9</v>
      </c>
      <c r="F229" s="1">
        <f>INDEX('App-Click Conversion by Rank'!$K$12:$S$31,MATCH(E229,'App-Click Conversion by Rank'!$J$12:$J$31,0),MATCH(D229,'App-Click Conversion by Rank'!$K$11:$S$11,0))</f>
        <v>2.0078354554358472E-2</v>
      </c>
      <c r="G229" s="3">
        <f t="shared" si="17"/>
        <v>0.46180215475024483</v>
      </c>
      <c r="H229" s="5">
        <f t="shared" si="18"/>
        <v>4.1562193927522033</v>
      </c>
      <c r="I229">
        <f t="shared" si="19"/>
        <v>207</v>
      </c>
    </row>
    <row r="230" spans="1:9" x14ac:dyDescent="0.45">
      <c r="A230">
        <v>5</v>
      </c>
      <c r="B230">
        <v>550</v>
      </c>
      <c r="C230">
        <v>104</v>
      </c>
      <c r="D230" t="str">
        <f t="shared" si="15"/>
        <v>501+</v>
      </c>
      <c r="E230">
        <f t="shared" si="16"/>
        <v>5</v>
      </c>
      <c r="F230" s="1">
        <f>INDEX('App-Click Conversion by Rank'!$K$12:$S$31,MATCH(E230,'App-Click Conversion by Rank'!$J$12:$J$31,0),MATCH(D230,'App-Click Conversion by Rank'!$K$11:$S$11,0))</f>
        <v>2.0504113882721692E-2</v>
      </c>
      <c r="G230" s="3">
        <f t="shared" si="17"/>
        <v>2.1324278438030557</v>
      </c>
      <c r="H230" s="5">
        <f t="shared" si="18"/>
        <v>10.662139219015279</v>
      </c>
      <c r="I230">
        <f t="shared" si="19"/>
        <v>520</v>
      </c>
    </row>
    <row r="231" spans="1:9" x14ac:dyDescent="0.45">
      <c r="A231">
        <v>2</v>
      </c>
      <c r="B231">
        <v>300</v>
      </c>
      <c r="C231">
        <v>64</v>
      </c>
      <c r="D231">
        <f t="shared" si="15"/>
        <v>300</v>
      </c>
      <c r="E231">
        <f t="shared" si="16"/>
        <v>2</v>
      </c>
      <c r="F231" s="1">
        <f>INDEX('App-Click Conversion by Rank'!$K$12:$S$31,MATCH(E231,'App-Click Conversion by Rank'!$J$12:$J$31,0),MATCH(D231,'App-Click Conversion by Rank'!$K$11:$S$11,0))</f>
        <v>0.11406010089932003</v>
      </c>
      <c r="G231" s="3">
        <f t="shared" si="17"/>
        <v>7.2998464575564821</v>
      </c>
      <c r="H231" s="5">
        <f t="shared" si="18"/>
        <v>14.599692915112964</v>
      </c>
      <c r="I231">
        <f t="shared" si="19"/>
        <v>128</v>
      </c>
    </row>
    <row r="232" spans="1:9" x14ac:dyDescent="0.45">
      <c r="A232">
        <v>15</v>
      </c>
      <c r="B232">
        <v>450</v>
      </c>
      <c r="C232">
        <v>44</v>
      </c>
      <c r="D232">
        <f t="shared" si="15"/>
        <v>450</v>
      </c>
      <c r="E232">
        <f t="shared" si="16"/>
        <v>15</v>
      </c>
      <c r="F232" s="1">
        <f>INDEX('App-Click Conversion by Rank'!$K$12:$S$31,MATCH(E232,'App-Click Conversion by Rank'!$J$12:$J$31,0),MATCH(D232,'App-Click Conversion by Rank'!$K$11:$S$11,0))</f>
        <v>3.0599755201958386E-3</v>
      </c>
      <c r="G232" s="3">
        <f t="shared" si="17"/>
        <v>0.1346389228886169</v>
      </c>
      <c r="H232" s="5">
        <f t="shared" si="18"/>
        <v>2.0195838433292534</v>
      </c>
      <c r="I232">
        <f t="shared" si="19"/>
        <v>660</v>
      </c>
    </row>
    <row r="233" spans="1:9" x14ac:dyDescent="0.45">
      <c r="A233">
        <v>17</v>
      </c>
      <c r="B233">
        <v>400</v>
      </c>
      <c r="C233">
        <v>10</v>
      </c>
      <c r="D233">
        <f t="shared" si="15"/>
        <v>400</v>
      </c>
      <c r="E233">
        <f t="shared" si="16"/>
        <v>17</v>
      </c>
      <c r="F233" s="1">
        <f>INDEX('App-Click Conversion by Rank'!$K$12:$S$31,MATCH(E233,'App-Click Conversion by Rank'!$J$12:$J$31,0),MATCH(D233,'App-Click Conversion by Rank'!$K$11:$S$11,0))</f>
        <v>4.7598442232799658E-3</v>
      </c>
      <c r="G233" s="3">
        <f t="shared" si="17"/>
        <v>4.7598442232799659E-2</v>
      </c>
      <c r="H233" s="5">
        <f t="shared" si="18"/>
        <v>0.80917351795759418</v>
      </c>
      <c r="I233">
        <f t="shared" si="19"/>
        <v>170</v>
      </c>
    </row>
    <row r="234" spans="1:9" x14ac:dyDescent="0.45">
      <c r="A234">
        <v>14</v>
      </c>
      <c r="B234">
        <v>650</v>
      </c>
      <c r="C234">
        <v>14</v>
      </c>
      <c r="D234" t="str">
        <f t="shared" si="15"/>
        <v>501+</v>
      </c>
      <c r="E234">
        <f t="shared" si="16"/>
        <v>14</v>
      </c>
      <c r="F234" s="1">
        <f>INDEX('App-Click Conversion by Rank'!$K$12:$S$31,MATCH(E234,'App-Click Conversion by Rank'!$J$12:$J$31,0),MATCH(D234,'App-Click Conversion by Rank'!$K$11:$S$11,0))</f>
        <v>3.5937500000000002E-3</v>
      </c>
      <c r="G234" s="3">
        <f t="shared" si="17"/>
        <v>5.0312500000000003E-2</v>
      </c>
      <c r="H234" s="5">
        <f t="shared" si="18"/>
        <v>0.70437500000000008</v>
      </c>
      <c r="I234">
        <f t="shared" si="19"/>
        <v>196</v>
      </c>
    </row>
    <row r="235" spans="1:9" x14ac:dyDescent="0.45">
      <c r="A235">
        <v>4</v>
      </c>
      <c r="B235">
        <v>300</v>
      </c>
      <c r="C235">
        <v>44</v>
      </c>
      <c r="D235">
        <f t="shared" si="15"/>
        <v>300</v>
      </c>
      <c r="E235">
        <f t="shared" si="16"/>
        <v>4</v>
      </c>
      <c r="F235" s="1">
        <f>INDEX('App-Click Conversion by Rank'!$K$12:$S$31,MATCH(E235,'App-Click Conversion by Rank'!$J$12:$J$31,0),MATCH(D235,'App-Click Conversion by Rank'!$K$11:$S$11,0))</f>
        <v>5.5850234009360372E-2</v>
      </c>
      <c r="G235" s="3">
        <f t="shared" si="17"/>
        <v>2.4574102964118563</v>
      </c>
      <c r="H235" s="5">
        <f t="shared" si="18"/>
        <v>9.8296411856474251</v>
      </c>
      <c r="I235">
        <f t="shared" si="19"/>
        <v>176</v>
      </c>
    </row>
    <row r="236" spans="1:9" x14ac:dyDescent="0.45">
      <c r="A236">
        <v>1</v>
      </c>
      <c r="B236">
        <v>450</v>
      </c>
      <c r="C236">
        <v>63</v>
      </c>
      <c r="D236">
        <f t="shared" si="15"/>
        <v>450</v>
      </c>
      <c r="E236">
        <f t="shared" si="16"/>
        <v>1</v>
      </c>
      <c r="F236" s="1">
        <f>INDEX('App-Click Conversion by Rank'!$K$12:$S$31,MATCH(E236,'App-Click Conversion by Rank'!$J$12:$J$31,0),MATCH(D236,'App-Click Conversion by Rank'!$K$11:$S$11,0))</f>
        <v>0.15592720118052139</v>
      </c>
      <c r="G236" s="3">
        <f t="shared" si="17"/>
        <v>9.8234136743728477</v>
      </c>
      <c r="H236" s="5">
        <f t="shared" si="18"/>
        <v>9.8234136743728477</v>
      </c>
      <c r="I236">
        <f t="shared" si="19"/>
        <v>63</v>
      </c>
    </row>
    <row r="237" spans="1:9" x14ac:dyDescent="0.45">
      <c r="A237">
        <v>26</v>
      </c>
      <c r="B237">
        <v>600</v>
      </c>
      <c r="C237">
        <v>3</v>
      </c>
      <c r="D237" t="str">
        <f t="shared" si="15"/>
        <v>501+</v>
      </c>
      <c r="E237" t="str">
        <f t="shared" si="16"/>
        <v>20+</v>
      </c>
      <c r="F237" s="1">
        <f>INDEX('App-Click Conversion by Rank'!$K$12:$S$31,MATCH(E237,'App-Click Conversion by Rank'!$J$12:$J$31,0),MATCH(D237,'App-Click Conversion by Rank'!$K$11:$S$11,0))</f>
        <v>5.9893958237873931E-3</v>
      </c>
      <c r="G237" s="3">
        <f t="shared" si="17"/>
        <v>1.7968187471362179E-2</v>
      </c>
      <c r="H237" s="5">
        <f t="shared" si="18"/>
        <v>0.46717287425541665</v>
      </c>
      <c r="I237">
        <f t="shared" si="19"/>
        <v>78</v>
      </c>
    </row>
    <row r="238" spans="1:9" x14ac:dyDescent="0.45">
      <c r="A238">
        <v>13</v>
      </c>
      <c r="B238">
        <v>250</v>
      </c>
      <c r="C238">
        <v>1</v>
      </c>
      <c r="D238">
        <f t="shared" si="15"/>
        <v>250</v>
      </c>
      <c r="E238">
        <f t="shared" si="16"/>
        <v>13</v>
      </c>
      <c r="F238" s="1">
        <f>INDEX('App-Click Conversion by Rank'!$K$12:$S$31,MATCH(E238,'App-Click Conversion by Rank'!$J$12:$J$31,0),MATCH(D238,'App-Click Conversion by Rank'!$K$11:$S$11,0))</f>
        <v>1.201923076923077E-2</v>
      </c>
      <c r="G238" s="3">
        <f t="shared" si="17"/>
        <v>1.201923076923077E-2</v>
      </c>
      <c r="H238" s="5">
        <f t="shared" si="18"/>
        <v>0.15625</v>
      </c>
      <c r="I238">
        <f t="shared" si="19"/>
        <v>13</v>
      </c>
    </row>
    <row r="239" spans="1:9" x14ac:dyDescent="0.45">
      <c r="A239">
        <v>35</v>
      </c>
      <c r="B239">
        <v>500</v>
      </c>
      <c r="C239">
        <v>1</v>
      </c>
      <c r="D239">
        <f t="shared" si="15"/>
        <v>500</v>
      </c>
      <c r="E239" t="str">
        <f t="shared" si="16"/>
        <v>20+</v>
      </c>
      <c r="F239" s="1">
        <f>INDEX('App-Click Conversion by Rank'!$K$12:$S$31,MATCH(E239,'App-Click Conversion by Rank'!$J$12:$J$31,0),MATCH(D239,'App-Click Conversion by Rank'!$K$11:$S$11,0))</f>
        <v>5.1121544079290558E-3</v>
      </c>
      <c r="G239" s="3">
        <f t="shared" si="17"/>
        <v>5.1121544079290558E-3</v>
      </c>
      <c r="H239" s="5">
        <f t="shared" si="18"/>
        <v>0.17892540427751696</v>
      </c>
      <c r="I239">
        <f t="shared" si="19"/>
        <v>35</v>
      </c>
    </row>
    <row r="240" spans="1:9" x14ac:dyDescent="0.45">
      <c r="A240">
        <v>19</v>
      </c>
      <c r="B240">
        <v>600</v>
      </c>
      <c r="C240">
        <v>3</v>
      </c>
      <c r="D240" t="str">
        <f t="shared" si="15"/>
        <v>501+</v>
      </c>
      <c r="E240">
        <f t="shared" si="16"/>
        <v>19</v>
      </c>
      <c r="F240" s="1">
        <f>INDEX('App-Click Conversion by Rank'!$K$12:$S$31,MATCH(E240,'App-Click Conversion by Rank'!$J$12:$J$31,0),MATCH(D240,'App-Click Conversion by Rank'!$K$11:$S$11,0))</f>
        <v>2.8030833917309038E-3</v>
      </c>
      <c r="G240" s="3">
        <f t="shared" si="17"/>
        <v>8.4092501751927111E-3</v>
      </c>
      <c r="H240" s="5">
        <f t="shared" si="18"/>
        <v>0.15977575332866151</v>
      </c>
      <c r="I240">
        <f t="shared" si="19"/>
        <v>57</v>
      </c>
    </row>
    <row r="241" spans="1:9" x14ac:dyDescent="0.45">
      <c r="A241">
        <v>3</v>
      </c>
      <c r="B241">
        <v>100</v>
      </c>
      <c r="C241">
        <v>1</v>
      </c>
      <c r="D241" t="str">
        <f t="shared" si="15"/>
        <v>&lt;=150</v>
      </c>
      <c r="E241">
        <f t="shared" si="16"/>
        <v>3</v>
      </c>
      <c r="F241" s="1">
        <f>INDEX('App-Click Conversion by Rank'!$K$12:$S$31,MATCH(E241,'App-Click Conversion by Rank'!$J$12:$J$31,0),MATCH(D241,'App-Click Conversion by Rank'!$K$11:$S$11,0))</f>
        <v>9.8360655737704916E-2</v>
      </c>
      <c r="G241" s="3">
        <f t="shared" si="17"/>
        <v>9.8360655737704916E-2</v>
      </c>
      <c r="H241" s="5">
        <f t="shared" si="18"/>
        <v>0.29508196721311475</v>
      </c>
      <c r="I241">
        <f t="shared" si="19"/>
        <v>3</v>
      </c>
    </row>
    <row r="242" spans="1:9" x14ac:dyDescent="0.45">
      <c r="A242">
        <v>27</v>
      </c>
      <c r="B242">
        <v>400</v>
      </c>
      <c r="C242">
        <v>2</v>
      </c>
      <c r="D242">
        <f t="shared" si="15"/>
        <v>400</v>
      </c>
      <c r="E242" t="str">
        <f t="shared" si="16"/>
        <v>20+</v>
      </c>
      <c r="F242" s="1">
        <f>INDEX('App-Click Conversion by Rank'!$K$12:$S$31,MATCH(E242,'App-Click Conversion by Rank'!$J$12:$J$31,0),MATCH(D242,'App-Click Conversion by Rank'!$K$11:$S$11,0))</f>
        <v>6.4196625091709463E-3</v>
      </c>
      <c r="G242" s="3">
        <f t="shared" si="17"/>
        <v>1.2839325018341893E-2</v>
      </c>
      <c r="H242" s="5">
        <f t="shared" si="18"/>
        <v>0.34666177549523108</v>
      </c>
      <c r="I242">
        <f t="shared" si="19"/>
        <v>54</v>
      </c>
    </row>
    <row r="243" spans="1:9" x14ac:dyDescent="0.45">
      <c r="A243">
        <v>32</v>
      </c>
      <c r="B243">
        <v>400</v>
      </c>
      <c r="C243">
        <v>1</v>
      </c>
      <c r="D243">
        <f t="shared" si="15"/>
        <v>400</v>
      </c>
      <c r="E243" t="str">
        <f t="shared" si="16"/>
        <v>20+</v>
      </c>
      <c r="F243" s="1">
        <f>INDEX('App-Click Conversion by Rank'!$K$12:$S$31,MATCH(E243,'App-Click Conversion by Rank'!$J$12:$J$31,0),MATCH(D243,'App-Click Conversion by Rank'!$K$11:$S$11,0))</f>
        <v>6.4196625091709463E-3</v>
      </c>
      <c r="G243" s="3">
        <f t="shared" si="17"/>
        <v>6.4196625091709463E-3</v>
      </c>
      <c r="H243" s="5">
        <f t="shared" si="18"/>
        <v>0.20542920029347028</v>
      </c>
      <c r="I243">
        <f t="shared" si="19"/>
        <v>32</v>
      </c>
    </row>
    <row r="244" spans="1:9" x14ac:dyDescent="0.45">
      <c r="A244">
        <v>33</v>
      </c>
      <c r="B244">
        <v>350</v>
      </c>
      <c r="C244">
        <v>1</v>
      </c>
      <c r="D244">
        <f t="shared" si="15"/>
        <v>350</v>
      </c>
      <c r="E244" t="str">
        <f t="shared" si="16"/>
        <v>20+</v>
      </c>
      <c r="F244" s="1">
        <f>INDEX('App-Click Conversion by Rank'!$K$12:$S$31,MATCH(E244,'App-Click Conversion by Rank'!$J$12:$J$31,0),MATCH(D244,'App-Click Conversion by Rank'!$K$11:$S$11,0))</f>
        <v>4.1279669762641896E-3</v>
      </c>
      <c r="G244" s="3">
        <f t="shared" si="17"/>
        <v>4.1279669762641896E-3</v>
      </c>
      <c r="H244" s="5">
        <f t="shared" si="18"/>
        <v>0.13622291021671826</v>
      </c>
      <c r="I244">
        <f t="shared" si="19"/>
        <v>33</v>
      </c>
    </row>
    <row r="245" spans="1:9" x14ac:dyDescent="0.45">
      <c r="A245">
        <v>23</v>
      </c>
      <c r="B245">
        <v>650</v>
      </c>
      <c r="C245">
        <v>1</v>
      </c>
      <c r="D245" t="str">
        <f t="shared" si="15"/>
        <v>501+</v>
      </c>
      <c r="E245" t="str">
        <f t="shared" si="16"/>
        <v>20+</v>
      </c>
      <c r="F245" s="1">
        <f>INDEX('App-Click Conversion by Rank'!$K$12:$S$31,MATCH(E245,'App-Click Conversion by Rank'!$J$12:$J$31,0),MATCH(D245,'App-Click Conversion by Rank'!$K$11:$S$11,0))</f>
        <v>5.9893958237873931E-3</v>
      </c>
      <c r="G245" s="3">
        <f t="shared" si="17"/>
        <v>5.9893958237873931E-3</v>
      </c>
      <c r="H245" s="5">
        <f t="shared" si="18"/>
        <v>0.13775610394711005</v>
      </c>
      <c r="I245">
        <f t="shared" si="19"/>
        <v>23</v>
      </c>
    </row>
    <row r="246" spans="1:9" x14ac:dyDescent="0.45">
      <c r="A246">
        <v>10</v>
      </c>
      <c r="B246">
        <v>200</v>
      </c>
      <c r="C246">
        <v>1</v>
      </c>
      <c r="D246">
        <f t="shared" si="15"/>
        <v>200</v>
      </c>
      <c r="E246">
        <f t="shared" si="16"/>
        <v>10</v>
      </c>
      <c r="F246" s="1">
        <f>INDEX('App-Click Conversion by Rank'!$K$12:$S$31,MATCH(E246,'App-Click Conversion by Rank'!$J$12:$J$31,0),MATCH(D246,'App-Click Conversion by Rank'!$K$11:$S$11,0))</f>
        <v>1.7361111111111112E-2</v>
      </c>
      <c r="G246" s="3">
        <f t="shared" si="17"/>
        <v>1.7361111111111112E-2</v>
      </c>
      <c r="H246" s="5">
        <f t="shared" si="18"/>
        <v>0.1736111111111111</v>
      </c>
      <c r="I246">
        <f t="shared" si="19"/>
        <v>10</v>
      </c>
    </row>
    <row r="247" spans="1:9" x14ac:dyDescent="0.45">
      <c r="G247" s="3"/>
      <c r="H247" s="5"/>
    </row>
    <row r="248" spans="1:9" x14ac:dyDescent="0.45">
      <c r="G248" s="3"/>
      <c r="H248" s="5"/>
    </row>
    <row r="249" spans="1:9" x14ac:dyDescent="0.45">
      <c r="G249" s="3"/>
      <c r="H249" s="5"/>
    </row>
    <row r="250" spans="1:9" x14ac:dyDescent="0.45">
      <c r="G250" s="3"/>
      <c r="H250" s="5"/>
    </row>
    <row r="251" spans="1:9" x14ac:dyDescent="0.45">
      <c r="G251" s="3"/>
      <c r="H251" s="5"/>
    </row>
    <row r="252" spans="1:9" x14ac:dyDescent="0.45">
      <c r="G252" s="3"/>
      <c r="H252" s="5"/>
    </row>
    <row r="253" spans="1:9" x14ac:dyDescent="0.45">
      <c r="G253" s="3"/>
      <c r="H253" s="5"/>
    </row>
    <row r="254" spans="1:9" x14ac:dyDescent="0.45">
      <c r="G254" s="3"/>
      <c r="H254" s="5"/>
    </row>
    <row r="255" spans="1:9" x14ac:dyDescent="0.45">
      <c r="G255" s="3"/>
      <c r="H255" s="5"/>
    </row>
    <row r="256" spans="1:9" x14ac:dyDescent="0.45">
      <c r="G256" s="3"/>
      <c r="H256" s="5"/>
    </row>
    <row r="257" spans="7:8" x14ac:dyDescent="0.45">
      <c r="G257" s="3"/>
      <c r="H257" s="5"/>
    </row>
    <row r="258" spans="7:8" x14ac:dyDescent="0.45">
      <c r="G258" s="3"/>
      <c r="H258" s="5"/>
    </row>
    <row r="259" spans="7:8" x14ac:dyDescent="0.45">
      <c r="G259" s="3"/>
      <c r="H259" s="5"/>
    </row>
    <row r="260" spans="7:8" x14ac:dyDescent="0.45">
      <c r="G260" s="3"/>
      <c r="H260" s="5"/>
    </row>
    <row r="261" spans="7:8" x14ac:dyDescent="0.45">
      <c r="G261" s="3"/>
      <c r="H261" s="5"/>
    </row>
    <row r="262" spans="7:8" x14ac:dyDescent="0.45">
      <c r="G262" s="3"/>
      <c r="H262" s="5"/>
    </row>
    <row r="263" spans="7:8" x14ac:dyDescent="0.45">
      <c r="G263" s="3"/>
      <c r="H263" s="5"/>
    </row>
    <row r="264" spans="7:8" x14ac:dyDescent="0.45">
      <c r="G264" s="3"/>
      <c r="H264" s="5"/>
    </row>
    <row r="265" spans="7:8" x14ac:dyDescent="0.45">
      <c r="G265" s="3"/>
      <c r="H265" s="5"/>
    </row>
    <row r="266" spans="7:8" x14ac:dyDescent="0.45">
      <c r="G266" s="3"/>
      <c r="H266" s="5"/>
    </row>
    <row r="267" spans="7:8" x14ac:dyDescent="0.45">
      <c r="G267" s="3"/>
      <c r="H267" s="5"/>
    </row>
    <row r="268" spans="7:8" x14ac:dyDescent="0.45">
      <c r="G268" s="3"/>
      <c r="H268" s="5"/>
    </row>
    <row r="269" spans="7:8" x14ac:dyDescent="0.45">
      <c r="G269" s="3"/>
      <c r="H269" s="5"/>
    </row>
    <row r="270" spans="7:8" x14ac:dyDescent="0.45">
      <c r="G270" s="3"/>
      <c r="H270" s="5"/>
    </row>
    <row r="271" spans="7:8" x14ac:dyDescent="0.45">
      <c r="G271" s="3"/>
      <c r="H271" s="5"/>
    </row>
    <row r="272" spans="7:8" x14ac:dyDescent="0.45">
      <c r="G272" s="3"/>
      <c r="H272" s="5"/>
    </row>
    <row r="273" spans="7:8" x14ac:dyDescent="0.45">
      <c r="G273" s="3"/>
      <c r="H273" s="5"/>
    </row>
    <row r="274" spans="7:8" x14ac:dyDescent="0.45">
      <c r="G274" s="3"/>
      <c r="H274" s="5"/>
    </row>
    <row r="275" spans="7:8" x14ac:dyDescent="0.45">
      <c r="G275" s="3"/>
      <c r="H275" s="5"/>
    </row>
    <row r="276" spans="7:8" x14ac:dyDescent="0.45">
      <c r="G276" s="3"/>
      <c r="H276" s="5"/>
    </row>
    <row r="277" spans="7:8" x14ac:dyDescent="0.45">
      <c r="G277" s="3"/>
      <c r="H277" s="5"/>
    </row>
    <row r="278" spans="7:8" x14ac:dyDescent="0.45">
      <c r="G278" s="3"/>
      <c r="H278" s="5"/>
    </row>
    <row r="279" spans="7:8" x14ac:dyDescent="0.45">
      <c r="G279" s="3"/>
      <c r="H279" s="5"/>
    </row>
    <row r="280" spans="7:8" x14ac:dyDescent="0.45">
      <c r="G280" s="3"/>
      <c r="H280" s="5"/>
    </row>
    <row r="281" spans="7:8" x14ac:dyDescent="0.45">
      <c r="G281" s="3"/>
      <c r="H281" s="5"/>
    </row>
    <row r="282" spans="7:8" x14ac:dyDescent="0.45">
      <c r="G282" s="3"/>
      <c r="H282" s="5"/>
    </row>
    <row r="283" spans="7:8" x14ac:dyDescent="0.45">
      <c r="G283" s="3"/>
      <c r="H283" s="5"/>
    </row>
    <row r="284" spans="7:8" x14ac:dyDescent="0.45">
      <c r="G284" s="3"/>
      <c r="H284" s="5"/>
    </row>
    <row r="285" spans="7:8" x14ac:dyDescent="0.45">
      <c r="G285" s="3"/>
      <c r="H285" s="5"/>
    </row>
    <row r="286" spans="7:8" x14ac:dyDescent="0.45">
      <c r="G286" s="3"/>
      <c r="H286" s="5"/>
    </row>
    <row r="287" spans="7:8" x14ac:dyDescent="0.45">
      <c r="G287" s="3"/>
      <c r="H287" s="5"/>
    </row>
    <row r="288" spans="7:8" x14ac:dyDescent="0.45">
      <c r="G288" s="3"/>
      <c r="H288" s="5"/>
    </row>
    <row r="289" spans="7:8" x14ac:dyDescent="0.45">
      <c r="G289" s="3"/>
      <c r="H289" s="5"/>
    </row>
    <row r="290" spans="7:8" x14ac:dyDescent="0.45">
      <c r="G290" s="3"/>
      <c r="H290" s="5"/>
    </row>
    <row r="291" spans="7:8" x14ac:dyDescent="0.45">
      <c r="G291" s="3"/>
      <c r="H291" s="5"/>
    </row>
    <row r="292" spans="7:8" x14ac:dyDescent="0.45">
      <c r="G292" s="3"/>
      <c r="H292" s="5"/>
    </row>
    <row r="293" spans="7:8" x14ac:dyDescent="0.45">
      <c r="G293" s="3"/>
      <c r="H293" s="5"/>
    </row>
    <row r="294" spans="7:8" x14ac:dyDescent="0.45">
      <c r="G294" s="3"/>
      <c r="H294" s="5"/>
    </row>
    <row r="295" spans="7:8" x14ac:dyDescent="0.45">
      <c r="G295" s="3"/>
      <c r="H295" s="5"/>
    </row>
    <row r="296" spans="7:8" x14ac:dyDescent="0.45">
      <c r="G296" s="3"/>
      <c r="H296" s="5"/>
    </row>
    <row r="297" spans="7:8" x14ac:dyDescent="0.45">
      <c r="G297" s="3"/>
      <c r="H297" s="5"/>
    </row>
    <row r="298" spans="7:8" x14ac:dyDescent="0.45">
      <c r="G298" s="3"/>
      <c r="H298" s="5"/>
    </row>
    <row r="299" spans="7:8" x14ac:dyDescent="0.45">
      <c r="G299" s="3"/>
      <c r="H299" s="5"/>
    </row>
    <row r="300" spans="7:8" x14ac:dyDescent="0.45">
      <c r="G300" s="3"/>
      <c r="H300" s="5"/>
    </row>
    <row r="301" spans="7:8" x14ac:dyDescent="0.45">
      <c r="G301" s="3"/>
      <c r="H301" s="5"/>
    </row>
    <row r="302" spans="7:8" x14ac:dyDescent="0.45">
      <c r="G302" s="3"/>
      <c r="H302" s="5"/>
    </row>
    <row r="303" spans="7:8" x14ac:dyDescent="0.45">
      <c r="G303" s="3"/>
      <c r="H303" s="5"/>
    </row>
    <row r="304" spans="7:8" x14ac:dyDescent="0.45">
      <c r="G304" s="3"/>
      <c r="H304" s="5"/>
    </row>
    <row r="305" spans="7:8" x14ac:dyDescent="0.45">
      <c r="G305" s="3"/>
      <c r="H305" s="5"/>
    </row>
    <row r="306" spans="7:8" x14ac:dyDescent="0.45">
      <c r="G306" s="3"/>
      <c r="H306" s="5"/>
    </row>
    <row r="307" spans="7:8" x14ac:dyDescent="0.45">
      <c r="G307" s="3"/>
      <c r="H307" s="5"/>
    </row>
    <row r="308" spans="7:8" x14ac:dyDescent="0.45">
      <c r="G308" s="3"/>
      <c r="H308" s="5"/>
    </row>
    <row r="309" spans="7:8" x14ac:dyDescent="0.45">
      <c r="G309" s="3"/>
      <c r="H309" s="5"/>
    </row>
    <row r="310" spans="7:8" x14ac:dyDescent="0.45">
      <c r="G310" s="3"/>
      <c r="H310" s="5"/>
    </row>
    <row r="311" spans="7:8" x14ac:dyDescent="0.45">
      <c r="G311" s="3"/>
      <c r="H311" s="5"/>
    </row>
    <row r="312" spans="7:8" x14ac:dyDescent="0.45">
      <c r="G312" s="3"/>
      <c r="H312" s="5"/>
    </row>
    <row r="313" spans="7:8" x14ac:dyDescent="0.45">
      <c r="G313" s="3"/>
      <c r="H313" s="5"/>
    </row>
    <row r="314" spans="7:8" x14ac:dyDescent="0.45">
      <c r="G314" s="3"/>
      <c r="H314" s="5"/>
    </row>
    <row r="315" spans="7:8" x14ac:dyDescent="0.45">
      <c r="G315" s="3"/>
      <c r="H315" s="5"/>
    </row>
    <row r="316" spans="7:8" x14ac:dyDescent="0.45">
      <c r="G316" s="3"/>
      <c r="H316" s="5"/>
    </row>
    <row r="317" spans="7:8" x14ac:dyDescent="0.45">
      <c r="G317" s="3"/>
      <c r="H317" s="5"/>
    </row>
    <row r="318" spans="7:8" x14ac:dyDescent="0.45">
      <c r="G318" s="3"/>
      <c r="H318" s="5"/>
    </row>
    <row r="319" spans="7:8" x14ac:dyDescent="0.45">
      <c r="G319" s="3"/>
      <c r="H319" s="5"/>
    </row>
    <row r="320" spans="7:8" x14ac:dyDescent="0.45">
      <c r="G320" s="3"/>
      <c r="H320" s="5"/>
    </row>
    <row r="321" spans="7:8" x14ac:dyDescent="0.45">
      <c r="G321" s="3"/>
      <c r="H321" s="5"/>
    </row>
    <row r="322" spans="7:8" x14ac:dyDescent="0.45">
      <c r="G322" s="3"/>
      <c r="H322" s="5"/>
    </row>
    <row r="323" spans="7:8" x14ac:dyDescent="0.45">
      <c r="G323" s="3"/>
      <c r="H323" s="5"/>
    </row>
    <row r="324" spans="7:8" x14ac:dyDescent="0.45">
      <c r="G324" s="3"/>
      <c r="H324" s="5"/>
    </row>
    <row r="325" spans="7:8" x14ac:dyDescent="0.45">
      <c r="G325" s="3"/>
      <c r="H325" s="5"/>
    </row>
    <row r="326" spans="7:8" x14ac:dyDescent="0.45">
      <c r="G326" s="3"/>
      <c r="H326" s="5"/>
    </row>
    <row r="327" spans="7:8" x14ac:dyDescent="0.45">
      <c r="G327" s="3"/>
      <c r="H327" s="5"/>
    </row>
    <row r="328" spans="7:8" x14ac:dyDescent="0.45">
      <c r="G328" s="3"/>
      <c r="H328" s="5"/>
    </row>
    <row r="329" spans="7:8" x14ac:dyDescent="0.45">
      <c r="G329" s="3"/>
      <c r="H329" s="5"/>
    </row>
    <row r="330" spans="7:8" x14ac:dyDescent="0.45">
      <c r="G330" s="3"/>
      <c r="H330" s="5"/>
    </row>
    <row r="331" spans="7:8" x14ac:dyDescent="0.45">
      <c r="G331" s="3"/>
      <c r="H331" s="5"/>
    </row>
    <row r="332" spans="7:8" x14ac:dyDescent="0.45">
      <c r="G332" s="3"/>
      <c r="H332" s="5"/>
    </row>
    <row r="333" spans="7:8" x14ac:dyDescent="0.45">
      <c r="G333" s="3"/>
      <c r="H333" s="5"/>
    </row>
    <row r="334" spans="7:8" x14ac:dyDescent="0.45">
      <c r="G334" s="3"/>
      <c r="H334" s="5"/>
    </row>
    <row r="335" spans="7:8" x14ac:dyDescent="0.45">
      <c r="G335" s="3"/>
      <c r="H335" s="5"/>
    </row>
    <row r="336" spans="7:8" x14ac:dyDescent="0.45">
      <c r="G336" s="3"/>
      <c r="H336" s="5"/>
    </row>
    <row r="337" spans="7:8" x14ac:dyDescent="0.45">
      <c r="G337" s="3"/>
      <c r="H337" s="5"/>
    </row>
    <row r="338" spans="7:8" x14ac:dyDescent="0.45">
      <c r="G338" s="3"/>
      <c r="H338" s="5"/>
    </row>
    <row r="339" spans="7:8" x14ac:dyDescent="0.45">
      <c r="G339" s="3"/>
      <c r="H339" s="5"/>
    </row>
    <row r="340" spans="7:8" x14ac:dyDescent="0.45">
      <c r="G340" s="3"/>
      <c r="H340" s="5"/>
    </row>
    <row r="341" spans="7:8" x14ac:dyDescent="0.45">
      <c r="G341" s="3"/>
      <c r="H341" s="5"/>
    </row>
    <row r="342" spans="7:8" x14ac:dyDescent="0.45">
      <c r="G342" s="3"/>
      <c r="H342" s="5"/>
    </row>
    <row r="343" spans="7:8" x14ac:dyDescent="0.45">
      <c r="G343" s="3"/>
      <c r="H343" s="5"/>
    </row>
    <row r="344" spans="7:8" x14ac:dyDescent="0.45">
      <c r="G344" s="3"/>
      <c r="H344" s="5"/>
    </row>
    <row r="345" spans="7:8" x14ac:dyDescent="0.45">
      <c r="G345" s="3"/>
      <c r="H345" s="5"/>
    </row>
    <row r="346" spans="7:8" x14ac:dyDescent="0.45">
      <c r="G346" s="3"/>
      <c r="H346" s="5"/>
    </row>
    <row r="347" spans="7:8" x14ac:dyDescent="0.45">
      <c r="G347" s="3"/>
      <c r="H347" s="5"/>
    </row>
    <row r="348" spans="7:8" x14ac:dyDescent="0.45">
      <c r="G348" s="3"/>
      <c r="H348" s="5"/>
    </row>
    <row r="349" spans="7:8" x14ac:dyDescent="0.45">
      <c r="G349" s="3"/>
      <c r="H349" s="5"/>
    </row>
    <row r="350" spans="7:8" x14ac:dyDescent="0.45">
      <c r="G350" s="3"/>
      <c r="H350" s="5"/>
    </row>
    <row r="351" spans="7:8" x14ac:dyDescent="0.45">
      <c r="G351" s="3"/>
      <c r="H351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E987B-163A-46F2-B7B3-35DA166B1532}">
  <dimension ref="A1:I351"/>
  <sheetViews>
    <sheetView workbookViewId="0">
      <selection activeCell="L9" sqref="L9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1:9" x14ac:dyDescent="0.45">
      <c r="A1" t="s">
        <v>32</v>
      </c>
      <c r="B1" t="s">
        <v>33</v>
      </c>
      <c r="C1" t="s">
        <v>34</v>
      </c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1:9" x14ac:dyDescent="0.45">
      <c r="A2">
        <v>3</v>
      </c>
      <c r="B2">
        <v>400</v>
      </c>
      <c r="C2">
        <v>658</v>
      </c>
      <c r="D2">
        <f>IF(B2&lt;=150,"&lt;=150",IF(B2&gt;500,"501+",B2))</f>
        <v>400</v>
      </c>
      <c r="E2">
        <f>IF(A2&gt;=20,"20+",A2)</f>
        <v>3</v>
      </c>
      <c r="F2" s="1">
        <f>INDEX('App-Click Conversion by Rank'!$K$12:$S$31,MATCH(E2,'App-Click Conversion by Rank'!$J$12:$J$31,0),MATCH(D2,'App-Click Conversion by Rank'!$K$11:$S$11,0))</f>
        <v>5.9630292188431723E-2</v>
      </c>
      <c r="G2" s="3">
        <f>C2*F2</f>
        <v>39.236732259988074</v>
      </c>
      <c r="H2" s="5">
        <f>G2*A2</f>
        <v>117.71019677996422</v>
      </c>
      <c r="I2">
        <f>C2*A2</f>
        <v>1974</v>
      </c>
    </row>
    <row r="3" spans="1:9" x14ac:dyDescent="0.45">
      <c r="A3">
        <v>9</v>
      </c>
      <c r="B3">
        <v>550</v>
      </c>
      <c r="C3">
        <v>386</v>
      </c>
      <c r="D3" t="str">
        <f t="shared" ref="D3:D66" si="0">IF(B3&lt;=150,"&lt;=150",IF(B3&gt;500,"501+",B3))</f>
        <v>501+</v>
      </c>
      <c r="E3">
        <f t="shared" ref="E3:E66" si="1">IF(A3&gt;=20,"20+",A3)</f>
        <v>9</v>
      </c>
      <c r="F3" s="1">
        <f>INDEX('App-Click Conversion by Rank'!$K$12:$S$31,MATCH(E3,'App-Click Conversion by Rank'!$J$12:$J$31,0),MATCH(D3,'App-Click Conversion by Rank'!$K$11:$S$11,0))</f>
        <v>6.6039061402276243E-3</v>
      </c>
      <c r="G3" s="3">
        <f t="shared" ref="G3:G66" si="2">C3*F3</f>
        <v>2.549107770127863</v>
      </c>
      <c r="H3" s="5">
        <f t="shared" ref="H3:H66" si="3">G3*A3</f>
        <v>22.941969931150766</v>
      </c>
      <c r="I3">
        <f t="shared" ref="I3:I66" si="4">C3*A3</f>
        <v>3474</v>
      </c>
    </row>
    <row r="4" spans="1:9" x14ac:dyDescent="0.45">
      <c r="A4">
        <v>9</v>
      </c>
      <c r="B4">
        <v>450</v>
      </c>
      <c r="C4">
        <v>415</v>
      </c>
      <c r="D4">
        <f t="shared" si="0"/>
        <v>450</v>
      </c>
      <c r="E4">
        <f t="shared" si="1"/>
        <v>9</v>
      </c>
      <c r="F4" s="1">
        <f>INDEX('App-Click Conversion by Rank'!$K$12:$S$31,MATCH(E4,'App-Click Conversion by Rank'!$J$12:$J$31,0),MATCH(D4,'App-Click Conversion by Rank'!$K$11:$S$11,0))</f>
        <v>7.0911722141823444E-3</v>
      </c>
      <c r="G4" s="3">
        <f t="shared" si="2"/>
        <v>2.9428364688856727</v>
      </c>
      <c r="H4" s="5">
        <f t="shared" si="3"/>
        <v>26.485528219971055</v>
      </c>
      <c r="I4">
        <f t="shared" si="4"/>
        <v>3735</v>
      </c>
    </row>
    <row r="5" spans="1:9" x14ac:dyDescent="0.45">
      <c r="A5">
        <v>10</v>
      </c>
      <c r="B5">
        <v>400</v>
      </c>
      <c r="C5">
        <v>187</v>
      </c>
      <c r="D5">
        <f t="shared" si="0"/>
        <v>400</v>
      </c>
      <c r="E5">
        <f t="shared" si="1"/>
        <v>10</v>
      </c>
      <c r="F5" s="1">
        <f>INDEX('App-Click Conversion by Rank'!$K$12:$S$31,MATCH(E5,'App-Click Conversion by Rank'!$J$12:$J$31,0),MATCH(D5,'App-Click Conversion by Rank'!$K$11:$S$11,0))</f>
        <v>9.4051257935574891E-3</v>
      </c>
      <c r="G5" s="3">
        <f t="shared" si="2"/>
        <v>1.7587585233952505</v>
      </c>
      <c r="H5" s="5">
        <f t="shared" si="3"/>
        <v>17.587585233952506</v>
      </c>
      <c r="I5">
        <f t="shared" si="4"/>
        <v>1870</v>
      </c>
    </row>
    <row r="6" spans="1:9" x14ac:dyDescent="0.45">
      <c r="A6">
        <v>4</v>
      </c>
      <c r="B6">
        <v>550</v>
      </c>
      <c r="C6">
        <v>153</v>
      </c>
      <c r="D6" t="str">
        <f t="shared" si="0"/>
        <v>501+</v>
      </c>
      <c r="E6">
        <f t="shared" si="1"/>
        <v>4</v>
      </c>
      <c r="F6" s="1">
        <f>INDEX('App-Click Conversion by Rank'!$K$12:$S$31,MATCH(E6,'App-Click Conversion by Rank'!$J$12:$J$31,0),MATCH(D6,'App-Click Conversion by Rank'!$K$11:$S$11,0))</f>
        <v>3.6664084688871675E-2</v>
      </c>
      <c r="G6" s="3">
        <f t="shared" si="2"/>
        <v>5.6096049573973659</v>
      </c>
      <c r="H6" s="5">
        <f t="shared" si="3"/>
        <v>22.438419829589463</v>
      </c>
      <c r="I6">
        <f t="shared" si="4"/>
        <v>612</v>
      </c>
    </row>
    <row r="7" spans="1:9" x14ac:dyDescent="0.45">
      <c r="A7">
        <v>5</v>
      </c>
      <c r="B7">
        <v>350</v>
      </c>
      <c r="C7">
        <v>271</v>
      </c>
      <c r="D7">
        <f t="shared" si="0"/>
        <v>350</v>
      </c>
      <c r="E7">
        <f t="shared" si="1"/>
        <v>5</v>
      </c>
      <c r="F7" s="1">
        <f>INDEX('App-Click Conversion by Rank'!$K$12:$S$31,MATCH(E7,'App-Click Conversion by Rank'!$J$12:$J$31,0),MATCH(D7,'App-Click Conversion by Rank'!$K$11:$S$11,0))</f>
        <v>3.7553141237600375E-2</v>
      </c>
      <c r="G7" s="3">
        <f t="shared" si="2"/>
        <v>10.176901275389701</v>
      </c>
      <c r="H7" s="5">
        <f t="shared" si="3"/>
        <v>50.884506376948508</v>
      </c>
      <c r="I7">
        <f t="shared" si="4"/>
        <v>1355</v>
      </c>
    </row>
    <row r="8" spans="1:9" x14ac:dyDescent="0.45">
      <c r="A8">
        <v>2</v>
      </c>
      <c r="B8">
        <v>500</v>
      </c>
      <c r="C8">
        <v>188</v>
      </c>
      <c r="D8">
        <f t="shared" si="0"/>
        <v>500</v>
      </c>
      <c r="E8">
        <f t="shared" si="1"/>
        <v>2</v>
      </c>
      <c r="F8" s="1">
        <f>INDEX('App-Click Conversion by Rank'!$K$12:$S$31,MATCH(E8,'App-Click Conversion by Rank'!$J$12:$J$31,0),MATCH(D8,'App-Click Conversion by Rank'!$K$11:$S$11,0))</f>
        <v>7.0611908899661568E-2</v>
      </c>
      <c r="G8" s="3">
        <f t="shared" si="2"/>
        <v>13.275038873136374</v>
      </c>
      <c r="H8" s="5">
        <f t="shared" si="3"/>
        <v>26.550077746272748</v>
      </c>
      <c r="I8">
        <f t="shared" si="4"/>
        <v>376</v>
      </c>
    </row>
    <row r="9" spans="1:9" x14ac:dyDescent="0.45">
      <c r="A9">
        <v>11</v>
      </c>
      <c r="B9">
        <v>600</v>
      </c>
      <c r="C9">
        <v>60</v>
      </c>
      <c r="D9" t="str">
        <f t="shared" si="0"/>
        <v>501+</v>
      </c>
      <c r="E9">
        <f t="shared" si="1"/>
        <v>11</v>
      </c>
      <c r="F9" s="1">
        <f>INDEX('App-Click Conversion by Rank'!$K$12:$S$31,MATCH(E9,'App-Click Conversion by Rank'!$J$12:$J$31,0),MATCH(D9,'App-Click Conversion by Rank'!$K$11:$S$11,0))</f>
        <v>7.0175438596491229E-3</v>
      </c>
      <c r="G9" s="3">
        <f t="shared" si="2"/>
        <v>0.4210526315789474</v>
      </c>
      <c r="H9" s="5">
        <f t="shared" si="3"/>
        <v>4.6315789473684212</v>
      </c>
      <c r="I9">
        <f t="shared" si="4"/>
        <v>660</v>
      </c>
    </row>
    <row r="10" spans="1:9" x14ac:dyDescent="0.45">
      <c r="A10">
        <v>1</v>
      </c>
      <c r="B10">
        <v>350</v>
      </c>
      <c r="C10">
        <v>6</v>
      </c>
      <c r="D10">
        <f t="shared" si="0"/>
        <v>350</v>
      </c>
      <c r="E10">
        <f t="shared" si="1"/>
        <v>1</v>
      </c>
      <c r="F10" s="1">
        <f>INDEX('App-Click Conversion by Rank'!$K$12:$S$31,MATCH(E10,'App-Click Conversion by Rank'!$J$12:$J$31,0),MATCH(D10,'App-Click Conversion by Rank'!$K$11:$S$11,0))</f>
        <v>0.22531939605110338</v>
      </c>
      <c r="G10" s="3">
        <f t="shared" si="2"/>
        <v>1.3519163763066202</v>
      </c>
      <c r="H10" s="5">
        <f t="shared" si="3"/>
        <v>1.3519163763066202</v>
      </c>
      <c r="I10">
        <f t="shared" si="4"/>
        <v>6</v>
      </c>
    </row>
    <row r="11" spans="1:9" x14ac:dyDescent="0.45">
      <c r="A11">
        <v>11</v>
      </c>
      <c r="B11">
        <v>650</v>
      </c>
      <c r="C11">
        <v>5</v>
      </c>
      <c r="D11" t="str">
        <f t="shared" si="0"/>
        <v>501+</v>
      </c>
      <c r="E11">
        <f t="shared" si="1"/>
        <v>11</v>
      </c>
      <c r="F11" s="1">
        <f>INDEX('App-Click Conversion by Rank'!$K$12:$S$31,MATCH(E11,'App-Click Conversion by Rank'!$J$12:$J$31,0),MATCH(D11,'App-Click Conversion by Rank'!$K$11:$S$11,0))</f>
        <v>7.0175438596491229E-3</v>
      </c>
      <c r="G11" s="3">
        <f t="shared" si="2"/>
        <v>3.5087719298245612E-2</v>
      </c>
      <c r="H11" s="5">
        <f t="shared" si="3"/>
        <v>0.38596491228070173</v>
      </c>
      <c r="I11">
        <f t="shared" si="4"/>
        <v>55</v>
      </c>
    </row>
    <row r="12" spans="1:9" x14ac:dyDescent="0.45">
      <c r="A12">
        <v>20</v>
      </c>
      <c r="B12">
        <v>500</v>
      </c>
      <c r="C12">
        <v>2</v>
      </c>
      <c r="D12">
        <f t="shared" si="0"/>
        <v>500</v>
      </c>
      <c r="E12" t="str">
        <f t="shared" si="1"/>
        <v>20+</v>
      </c>
      <c r="F12" s="1">
        <f>INDEX('App-Click Conversion by Rank'!$K$12:$S$31,MATCH(E12,'App-Click Conversion by Rank'!$J$12:$J$31,0),MATCH(D12,'App-Click Conversion by Rank'!$K$11:$S$11,0))</f>
        <v>5.1121544079290558E-3</v>
      </c>
      <c r="G12" s="3">
        <f t="shared" si="2"/>
        <v>1.0224308815858112E-2</v>
      </c>
      <c r="H12" s="5">
        <f t="shared" si="3"/>
        <v>0.20448617631716223</v>
      </c>
      <c r="I12">
        <f t="shared" si="4"/>
        <v>40</v>
      </c>
    </row>
    <row r="13" spans="1:9" x14ac:dyDescent="0.45">
      <c r="A13">
        <v>28</v>
      </c>
      <c r="B13">
        <v>600</v>
      </c>
      <c r="C13">
        <v>1</v>
      </c>
      <c r="D13" t="str">
        <f t="shared" si="0"/>
        <v>501+</v>
      </c>
      <c r="E13" t="str">
        <f t="shared" si="1"/>
        <v>20+</v>
      </c>
      <c r="F13" s="1">
        <f>INDEX('App-Click Conversion by Rank'!$K$12:$S$31,MATCH(E13,'App-Click Conversion by Rank'!$J$12:$J$31,0),MATCH(D13,'App-Click Conversion by Rank'!$K$11:$S$11,0))</f>
        <v>5.9893958237873931E-3</v>
      </c>
      <c r="G13" s="3">
        <f t="shared" si="2"/>
        <v>5.9893958237873931E-3</v>
      </c>
      <c r="H13" s="5">
        <f t="shared" si="3"/>
        <v>0.167703083066047</v>
      </c>
      <c r="I13">
        <f t="shared" si="4"/>
        <v>28</v>
      </c>
    </row>
    <row r="14" spans="1:9" x14ac:dyDescent="0.45">
      <c r="A14">
        <v>33</v>
      </c>
      <c r="B14">
        <v>550</v>
      </c>
      <c r="C14">
        <v>1</v>
      </c>
      <c r="D14" t="str">
        <f t="shared" si="0"/>
        <v>501+</v>
      </c>
      <c r="E14" t="str">
        <f t="shared" si="1"/>
        <v>20+</v>
      </c>
      <c r="F14" s="1">
        <f>INDEX('App-Click Conversion by Rank'!$K$12:$S$31,MATCH(E14,'App-Click Conversion by Rank'!$J$12:$J$31,0),MATCH(D14,'App-Click Conversion by Rank'!$K$11:$S$11,0))</f>
        <v>5.9893958237873931E-3</v>
      </c>
      <c r="G14" s="3">
        <f t="shared" si="2"/>
        <v>5.9893958237873931E-3</v>
      </c>
      <c r="H14" s="5">
        <f t="shared" si="3"/>
        <v>0.19765006218498396</v>
      </c>
      <c r="I14">
        <f t="shared" si="4"/>
        <v>33</v>
      </c>
    </row>
    <row r="15" spans="1:9" x14ac:dyDescent="0.45">
      <c r="A15">
        <v>16</v>
      </c>
      <c r="B15">
        <v>600</v>
      </c>
      <c r="C15">
        <v>2</v>
      </c>
      <c r="D15" t="str">
        <f t="shared" si="0"/>
        <v>501+</v>
      </c>
      <c r="E15">
        <f t="shared" si="1"/>
        <v>16</v>
      </c>
      <c r="F15" s="1">
        <f>INDEX('App-Click Conversion by Rank'!$K$12:$S$31,MATCH(E15,'App-Click Conversion by Rank'!$J$12:$J$31,0),MATCH(D15,'App-Click Conversion by Rank'!$K$11:$S$11,0))</f>
        <v>3.5842293906810036E-3</v>
      </c>
      <c r="G15" s="3">
        <f t="shared" si="2"/>
        <v>7.1684587813620072E-3</v>
      </c>
      <c r="H15" s="5">
        <f t="shared" si="3"/>
        <v>0.11469534050179211</v>
      </c>
      <c r="I15">
        <f t="shared" si="4"/>
        <v>32</v>
      </c>
    </row>
    <row r="16" spans="1:9" x14ac:dyDescent="0.45">
      <c r="A16">
        <v>1</v>
      </c>
      <c r="B16">
        <v>600</v>
      </c>
      <c r="C16">
        <v>1</v>
      </c>
      <c r="D16" t="str">
        <f t="shared" si="0"/>
        <v>501+</v>
      </c>
      <c r="E16">
        <f t="shared" si="1"/>
        <v>1</v>
      </c>
      <c r="F16" s="1">
        <f>INDEX('App-Click Conversion by Rank'!$K$12:$S$31,MATCH(E16,'App-Click Conversion by Rank'!$J$12:$J$31,0),MATCH(D16,'App-Click Conversion by Rank'!$K$11:$S$11,0))</f>
        <v>0.12719738824711199</v>
      </c>
      <c r="G16" s="3">
        <f t="shared" si="2"/>
        <v>0.12719738824711199</v>
      </c>
      <c r="H16" s="5">
        <f t="shared" si="3"/>
        <v>0.12719738824711199</v>
      </c>
      <c r="I16">
        <f t="shared" si="4"/>
        <v>1</v>
      </c>
    </row>
    <row r="17" spans="1:9" x14ac:dyDescent="0.45">
      <c r="A17">
        <v>12</v>
      </c>
      <c r="B17">
        <v>400</v>
      </c>
      <c r="C17">
        <v>701</v>
      </c>
      <c r="D17">
        <f t="shared" si="0"/>
        <v>400</v>
      </c>
      <c r="E17">
        <f t="shared" si="1"/>
        <v>12</v>
      </c>
      <c r="F17" s="1">
        <f>INDEX('App-Click Conversion by Rank'!$K$12:$S$31,MATCH(E17,'App-Click Conversion by Rank'!$J$12:$J$31,0),MATCH(D17,'App-Click Conversion by Rank'!$K$11:$S$11,0))</f>
        <v>6.954102920723227E-3</v>
      </c>
      <c r="G17" s="3">
        <f t="shared" si="2"/>
        <v>4.8748261474269823</v>
      </c>
      <c r="H17" s="5">
        <f t="shared" si="3"/>
        <v>58.497913769123784</v>
      </c>
      <c r="I17">
        <f t="shared" si="4"/>
        <v>8412</v>
      </c>
    </row>
    <row r="18" spans="1:9" x14ac:dyDescent="0.45">
      <c r="A18">
        <v>8</v>
      </c>
      <c r="B18">
        <v>200</v>
      </c>
      <c r="C18">
        <v>7</v>
      </c>
      <c r="D18">
        <f t="shared" si="0"/>
        <v>200</v>
      </c>
      <c r="E18">
        <f t="shared" si="1"/>
        <v>8</v>
      </c>
      <c r="F18" s="1">
        <f>INDEX('App-Click Conversion by Rank'!$K$12:$S$31,MATCH(E18,'App-Click Conversion by Rank'!$J$12:$J$31,0),MATCH(D18,'App-Click Conversion by Rank'!$K$11:$S$11,0))</f>
        <v>1.7817371937639197E-2</v>
      </c>
      <c r="G18" s="3">
        <f t="shared" si="2"/>
        <v>0.12472160356347438</v>
      </c>
      <c r="H18" s="5">
        <f t="shared" si="3"/>
        <v>0.99777282850779503</v>
      </c>
      <c r="I18">
        <f t="shared" si="4"/>
        <v>56</v>
      </c>
    </row>
    <row r="19" spans="1:9" x14ac:dyDescent="0.45">
      <c r="A19">
        <v>17</v>
      </c>
      <c r="B19">
        <v>450</v>
      </c>
      <c r="C19">
        <v>26</v>
      </c>
      <c r="D19">
        <f t="shared" si="0"/>
        <v>450</v>
      </c>
      <c r="E19">
        <f t="shared" si="1"/>
        <v>17</v>
      </c>
      <c r="F19" s="1">
        <f>INDEX('App-Click Conversion by Rank'!$K$12:$S$31,MATCH(E19,'App-Click Conversion by Rank'!$J$12:$J$31,0),MATCH(D19,'App-Click Conversion by Rank'!$K$11:$S$11,0))</f>
        <v>3.609293931874577E-3</v>
      </c>
      <c r="G19" s="3">
        <f t="shared" si="2"/>
        <v>9.3841642228739003E-2</v>
      </c>
      <c r="H19" s="5">
        <f t="shared" si="3"/>
        <v>1.595307917888563</v>
      </c>
      <c r="I19">
        <f t="shared" si="4"/>
        <v>442</v>
      </c>
    </row>
    <row r="20" spans="1:9" x14ac:dyDescent="0.45">
      <c r="A20">
        <v>6</v>
      </c>
      <c r="B20">
        <v>150</v>
      </c>
      <c r="C20">
        <v>8</v>
      </c>
      <c r="D20" t="str">
        <f t="shared" si="0"/>
        <v>&lt;=150</v>
      </c>
      <c r="E20">
        <f t="shared" si="1"/>
        <v>6</v>
      </c>
      <c r="F20" s="1">
        <f>INDEX('App-Click Conversion by Rank'!$K$12:$S$31,MATCH(E20,'App-Click Conversion by Rank'!$J$12:$J$31,0),MATCH(D20,'App-Click Conversion by Rank'!$K$11:$S$11,0))</f>
        <v>6.25E-2</v>
      </c>
      <c r="G20" s="3">
        <f t="shared" si="2"/>
        <v>0.5</v>
      </c>
      <c r="H20" s="5">
        <f t="shared" si="3"/>
        <v>3</v>
      </c>
      <c r="I20">
        <f t="shared" si="4"/>
        <v>48</v>
      </c>
    </row>
    <row r="21" spans="1:9" x14ac:dyDescent="0.45">
      <c r="A21">
        <v>18</v>
      </c>
      <c r="B21">
        <v>500</v>
      </c>
      <c r="C21">
        <v>39</v>
      </c>
      <c r="D21">
        <f t="shared" si="0"/>
        <v>500</v>
      </c>
      <c r="E21">
        <f t="shared" si="1"/>
        <v>18</v>
      </c>
      <c r="F21" s="1">
        <f>INDEX('App-Click Conversion by Rank'!$K$12:$S$31,MATCH(E21,'App-Click Conversion by Rank'!$J$12:$J$31,0),MATCH(D21,'App-Click Conversion by Rank'!$K$11:$S$11,0))</f>
        <v>4.3760374226648555E-3</v>
      </c>
      <c r="G21" s="3">
        <f t="shared" si="2"/>
        <v>0.17066545948392936</v>
      </c>
      <c r="H21" s="5">
        <f t="shared" si="3"/>
        <v>3.0719782707107286</v>
      </c>
      <c r="I21">
        <f t="shared" si="4"/>
        <v>702</v>
      </c>
    </row>
    <row r="22" spans="1:9" x14ac:dyDescent="0.45">
      <c r="A22">
        <v>20</v>
      </c>
      <c r="B22">
        <v>550</v>
      </c>
      <c r="C22">
        <v>3</v>
      </c>
      <c r="D22" t="str">
        <f t="shared" si="0"/>
        <v>501+</v>
      </c>
      <c r="E22" t="str">
        <f t="shared" si="1"/>
        <v>20+</v>
      </c>
      <c r="F22" s="1">
        <f>INDEX('App-Click Conversion by Rank'!$K$12:$S$31,MATCH(E22,'App-Click Conversion by Rank'!$J$12:$J$31,0),MATCH(D22,'App-Click Conversion by Rank'!$K$11:$S$11,0))</f>
        <v>5.9893958237873931E-3</v>
      </c>
      <c r="G22" s="3">
        <f t="shared" si="2"/>
        <v>1.7968187471362179E-2</v>
      </c>
      <c r="H22" s="5">
        <f t="shared" si="3"/>
        <v>0.35936374942724358</v>
      </c>
      <c r="I22">
        <f t="shared" si="4"/>
        <v>60</v>
      </c>
    </row>
    <row r="23" spans="1:9" x14ac:dyDescent="0.45">
      <c r="A23">
        <v>8</v>
      </c>
      <c r="B23">
        <v>250</v>
      </c>
      <c r="C23">
        <v>2</v>
      </c>
      <c r="D23">
        <f t="shared" si="0"/>
        <v>250</v>
      </c>
      <c r="E23">
        <f t="shared" si="1"/>
        <v>8</v>
      </c>
      <c r="F23" s="1">
        <f>INDEX('App-Click Conversion by Rank'!$K$12:$S$31,MATCH(E23,'App-Click Conversion by Rank'!$J$12:$J$31,0),MATCH(D23,'App-Click Conversion by Rank'!$K$11:$S$11,0))</f>
        <v>3.04E-2</v>
      </c>
      <c r="G23" s="3">
        <f t="shared" si="2"/>
        <v>6.08E-2</v>
      </c>
      <c r="H23" s="5">
        <f t="shared" si="3"/>
        <v>0.4864</v>
      </c>
      <c r="I23">
        <f t="shared" si="4"/>
        <v>16</v>
      </c>
    </row>
    <row r="24" spans="1:9" x14ac:dyDescent="0.45">
      <c r="A24">
        <v>26</v>
      </c>
      <c r="B24">
        <v>400</v>
      </c>
      <c r="C24">
        <v>2</v>
      </c>
      <c r="D24">
        <f t="shared" si="0"/>
        <v>400</v>
      </c>
      <c r="E24" t="str">
        <f t="shared" si="1"/>
        <v>20+</v>
      </c>
      <c r="F24" s="1">
        <f>INDEX('App-Click Conversion by Rank'!$K$12:$S$31,MATCH(E24,'App-Click Conversion by Rank'!$J$12:$J$31,0),MATCH(D24,'App-Click Conversion by Rank'!$K$11:$S$11,0))</f>
        <v>6.4196625091709463E-3</v>
      </c>
      <c r="G24" s="3">
        <f t="shared" si="2"/>
        <v>1.2839325018341893E-2</v>
      </c>
      <c r="H24" s="5">
        <f t="shared" si="3"/>
        <v>0.33382245047688919</v>
      </c>
      <c r="I24">
        <f t="shared" si="4"/>
        <v>52</v>
      </c>
    </row>
    <row r="25" spans="1:9" x14ac:dyDescent="0.45">
      <c r="A25">
        <v>2</v>
      </c>
      <c r="B25">
        <v>150</v>
      </c>
      <c r="C25">
        <v>3</v>
      </c>
      <c r="D25" t="str">
        <f t="shared" si="0"/>
        <v>&lt;=150</v>
      </c>
      <c r="E25">
        <f t="shared" si="1"/>
        <v>2</v>
      </c>
      <c r="F25" s="1">
        <f>INDEX('App-Click Conversion by Rank'!$K$12:$S$31,MATCH(E25,'App-Click Conversion by Rank'!$J$12:$J$31,0),MATCH(D25,'App-Click Conversion by Rank'!$K$11:$S$11,0))</f>
        <v>0.14536340852130325</v>
      </c>
      <c r="G25" s="3">
        <f t="shared" si="2"/>
        <v>0.43609022556390975</v>
      </c>
      <c r="H25" s="5">
        <f t="shared" si="3"/>
        <v>0.8721804511278195</v>
      </c>
      <c r="I25">
        <f t="shared" si="4"/>
        <v>6</v>
      </c>
    </row>
    <row r="26" spans="1:9" x14ac:dyDescent="0.45">
      <c r="A26">
        <v>20</v>
      </c>
      <c r="B26">
        <v>450</v>
      </c>
      <c r="C26">
        <v>2</v>
      </c>
      <c r="D26">
        <f t="shared" si="0"/>
        <v>450</v>
      </c>
      <c r="E26" t="str">
        <f t="shared" si="1"/>
        <v>20+</v>
      </c>
      <c r="F26" s="1">
        <f>INDEX('App-Click Conversion by Rank'!$K$12:$S$31,MATCH(E26,'App-Click Conversion by Rank'!$J$12:$J$31,0),MATCH(D26,'App-Click Conversion by Rank'!$K$11:$S$11,0))</f>
        <v>5.6022408963585435E-3</v>
      </c>
      <c r="G26" s="3">
        <f t="shared" si="2"/>
        <v>1.1204481792717087E-2</v>
      </c>
      <c r="H26" s="5">
        <f t="shared" si="3"/>
        <v>0.22408963585434175</v>
      </c>
      <c r="I26">
        <f t="shared" si="4"/>
        <v>40</v>
      </c>
    </row>
    <row r="27" spans="1:9" x14ac:dyDescent="0.45">
      <c r="A27">
        <v>31</v>
      </c>
      <c r="B27">
        <v>400</v>
      </c>
      <c r="C27">
        <v>1</v>
      </c>
      <c r="D27">
        <f t="shared" si="0"/>
        <v>400</v>
      </c>
      <c r="E27" t="str">
        <f t="shared" si="1"/>
        <v>20+</v>
      </c>
      <c r="F27" s="1">
        <f>INDEX('App-Click Conversion by Rank'!$K$12:$S$31,MATCH(E27,'App-Click Conversion by Rank'!$J$12:$J$31,0),MATCH(D27,'App-Click Conversion by Rank'!$K$11:$S$11,0))</f>
        <v>6.4196625091709463E-3</v>
      </c>
      <c r="G27" s="3">
        <f t="shared" si="2"/>
        <v>6.4196625091709463E-3</v>
      </c>
      <c r="H27" s="5">
        <f t="shared" si="3"/>
        <v>0.19900953778429933</v>
      </c>
      <c r="I27">
        <f t="shared" si="4"/>
        <v>31</v>
      </c>
    </row>
    <row r="28" spans="1:9" x14ac:dyDescent="0.45">
      <c r="A28">
        <v>17</v>
      </c>
      <c r="B28">
        <v>350</v>
      </c>
      <c r="C28">
        <v>2</v>
      </c>
      <c r="D28">
        <f t="shared" si="0"/>
        <v>350</v>
      </c>
      <c r="E28">
        <f t="shared" si="1"/>
        <v>17</v>
      </c>
      <c r="F28" s="1">
        <f>INDEX('App-Click Conversion by Rank'!$K$12:$S$31,MATCH(E28,'App-Click Conversion by Rank'!$J$12:$J$31,0),MATCH(D28,'App-Click Conversion by Rank'!$K$11:$S$11,0))</f>
        <v>2.5445292620865142E-3</v>
      </c>
      <c r="G28" s="3">
        <f t="shared" si="2"/>
        <v>5.0890585241730284E-3</v>
      </c>
      <c r="H28" s="5">
        <f t="shared" si="3"/>
        <v>8.6513994910941486E-2</v>
      </c>
      <c r="I28">
        <f t="shared" si="4"/>
        <v>34</v>
      </c>
    </row>
    <row r="29" spans="1:9" x14ac:dyDescent="0.45">
      <c r="A29">
        <v>7</v>
      </c>
      <c r="B29">
        <v>200</v>
      </c>
      <c r="C29">
        <v>1</v>
      </c>
      <c r="D29">
        <f t="shared" si="0"/>
        <v>200</v>
      </c>
      <c r="E29">
        <f t="shared" si="1"/>
        <v>7</v>
      </c>
      <c r="F29" s="1">
        <f>INDEX('App-Click Conversion by Rank'!$K$12:$S$31,MATCH(E29,'App-Click Conversion by Rank'!$J$12:$J$31,0),MATCH(D29,'App-Click Conversion by Rank'!$K$11:$S$11,0))</f>
        <v>2.3569023569023569E-2</v>
      </c>
      <c r="G29" s="3">
        <f t="shared" si="2"/>
        <v>2.3569023569023569E-2</v>
      </c>
      <c r="H29" s="5">
        <f t="shared" si="3"/>
        <v>0.16498316498316498</v>
      </c>
      <c r="I29">
        <f t="shared" si="4"/>
        <v>7</v>
      </c>
    </row>
    <row r="30" spans="1:9" x14ac:dyDescent="0.45">
      <c r="A30">
        <v>10</v>
      </c>
      <c r="B30">
        <v>450</v>
      </c>
      <c r="C30">
        <v>355</v>
      </c>
      <c r="D30">
        <f t="shared" si="0"/>
        <v>450</v>
      </c>
      <c r="E30">
        <f t="shared" si="1"/>
        <v>10</v>
      </c>
      <c r="F30" s="1">
        <f>INDEX('App-Click Conversion by Rank'!$K$12:$S$31,MATCH(E30,'App-Click Conversion by Rank'!$J$12:$J$31,0),MATCH(D30,'App-Click Conversion by Rank'!$K$11:$S$11,0))</f>
        <v>8.6499845535990116E-3</v>
      </c>
      <c r="G30" s="3">
        <f t="shared" si="2"/>
        <v>3.070744516527649</v>
      </c>
      <c r="H30" s="5">
        <f t="shared" si="3"/>
        <v>30.707445165276489</v>
      </c>
      <c r="I30">
        <f t="shared" si="4"/>
        <v>3550</v>
      </c>
    </row>
    <row r="31" spans="1:9" x14ac:dyDescent="0.45">
      <c r="A31">
        <v>3</v>
      </c>
      <c r="B31">
        <v>300</v>
      </c>
      <c r="C31">
        <v>288</v>
      </c>
      <c r="D31">
        <f t="shared" si="0"/>
        <v>300</v>
      </c>
      <c r="E31">
        <f t="shared" si="1"/>
        <v>3</v>
      </c>
      <c r="F31" s="1">
        <f>INDEX('App-Click Conversion by Rank'!$K$12:$S$31,MATCH(E31,'App-Click Conversion by Rank'!$J$12:$J$31,0),MATCH(D31,'App-Click Conversion by Rank'!$K$11:$S$11,0))</f>
        <v>7.8236914600550961E-2</v>
      </c>
      <c r="G31" s="3">
        <f t="shared" si="2"/>
        <v>22.532231404958676</v>
      </c>
      <c r="H31" s="5">
        <f t="shared" si="3"/>
        <v>67.596694214876024</v>
      </c>
      <c r="I31">
        <f t="shared" si="4"/>
        <v>864</v>
      </c>
    </row>
    <row r="32" spans="1:9" x14ac:dyDescent="0.45">
      <c r="A32">
        <v>10</v>
      </c>
      <c r="B32">
        <v>500</v>
      </c>
      <c r="C32">
        <v>704</v>
      </c>
      <c r="D32">
        <f t="shared" si="0"/>
        <v>500</v>
      </c>
      <c r="E32">
        <f t="shared" si="1"/>
        <v>10</v>
      </c>
      <c r="F32" s="1">
        <f>INDEX('App-Click Conversion by Rank'!$K$12:$S$31,MATCH(E32,'App-Click Conversion by Rank'!$J$12:$J$31,0),MATCH(D32,'App-Click Conversion by Rank'!$K$11:$S$11,0))</f>
        <v>8.179029876178575E-3</v>
      </c>
      <c r="G32" s="3">
        <f t="shared" si="2"/>
        <v>5.7580370328297166</v>
      </c>
      <c r="H32" s="5">
        <f t="shared" si="3"/>
        <v>57.580370328297164</v>
      </c>
      <c r="I32">
        <f t="shared" si="4"/>
        <v>7040</v>
      </c>
    </row>
    <row r="33" spans="1:9" x14ac:dyDescent="0.45">
      <c r="A33">
        <v>11</v>
      </c>
      <c r="B33">
        <v>400</v>
      </c>
      <c r="C33">
        <v>160</v>
      </c>
      <c r="D33">
        <f t="shared" si="0"/>
        <v>400</v>
      </c>
      <c r="E33">
        <f t="shared" si="1"/>
        <v>11</v>
      </c>
      <c r="F33" s="1">
        <f>INDEX('App-Click Conversion by Rank'!$K$12:$S$31,MATCH(E33,'App-Click Conversion by Rank'!$J$12:$J$31,0),MATCH(D33,'App-Click Conversion by Rank'!$K$11:$S$11,0))</f>
        <v>8.6912065439672809E-3</v>
      </c>
      <c r="G33" s="3">
        <f t="shared" si="2"/>
        <v>1.3905930470347649</v>
      </c>
      <c r="H33" s="5">
        <f t="shared" si="3"/>
        <v>15.296523517382415</v>
      </c>
      <c r="I33">
        <f t="shared" si="4"/>
        <v>1760</v>
      </c>
    </row>
    <row r="34" spans="1:9" x14ac:dyDescent="0.45">
      <c r="A34">
        <v>13</v>
      </c>
      <c r="B34">
        <v>350</v>
      </c>
      <c r="C34">
        <v>24</v>
      </c>
      <c r="D34">
        <f t="shared" si="0"/>
        <v>350</v>
      </c>
      <c r="E34">
        <f t="shared" si="1"/>
        <v>13</v>
      </c>
      <c r="F34" s="1">
        <f>INDEX('App-Click Conversion by Rank'!$K$12:$S$31,MATCH(E34,'App-Click Conversion by Rank'!$J$12:$J$31,0),MATCH(D34,'App-Click Conversion by Rank'!$K$11:$S$11,0))</f>
        <v>3.7654653039268424E-3</v>
      </c>
      <c r="G34" s="3">
        <f t="shared" si="2"/>
        <v>9.0371167294244215E-2</v>
      </c>
      <c r="H34" s="5">
        <f t="shared" si="3"/>
        <v>1.1748251748251748</v>
      </c>
      <c r="I34">
        <f t="shared" si="4"/>
        <v>312</v>
      </c>
    </row>
    <row r="35" spans="1:9" x14ac:dyDescent="0.45">
      <c r="A35">
        <v>17</v>
      </c>
      <c r="B35">
        <v>650</v>
      </c>
      <c r="C35">
        <v>1</v>
      </c>
      <c r="D35" t="str">
        <f t="shared" si="0"/>
        <v>501+</v>
      </c>
      <c r="E35">
        <f t="shared" si="1"/>
        <v>17</v>
      </c>
      <c r="F35" s="1">
        <f>INDEX('App-Click Conversion by Rank'!$K$12:$S$31,MATCH(E35,'App-Click Conversion by Rank'!$J$12:$J$31,0),MATCH(D35,'App-Click Conversion by Rank'!$K$11:$S$11,0))</f>
        <v>2.660901380342591E-3</v>
      </c>
      <c r="G35" s="3">
        <f t="shared" si="2"/>
        <v>2.660901380342591E-3</v>
      </c>
      <c r="H35" s="5">
        <f t="shared" si="3"/>
        <v>4.5235323465824047E-2</v>
      </c>
      <c r="I35">
        <f t="shared" si="4"/>
        <v>17</v>
      </c>
    </row>
    <row r="36" spans="1:9" x14ac:dyDescent="0.45">
      <c r="A36">
        <v>6</v>
      </c>
      <c r="B36">
        <v>600</v>
      </c>
      <c r="C36">
        <v>15</v>
      </c>
      <c r="D36" t="str">
        <f t="shared" si="0"/>
        <v>501+</v>
      </c>
      <c r="E36">
        <f t="shared" si="1"/>
        <v>6</v>
      </c>
      <c r="F36" s="1">
        <f>INDEX('App-Click Conversion by Rank'!$K$12:$S$31,MATCH(E36,'App-Click Conversion by Rank'!$J$12:$J$31,0),MATCH(D36,'App-Click Conversion by Rank'!$K$11:$S$11,0))</f>
        <v>2.4383744170552963E-2</v>
      </c>
      <c r="G36" s="3">
        <f t="shared" si="2"/>
        <v>0.36575616255829446</v>
      </c>
      <c r="H36" s="5">
        <f t="shared" si="3"/>
        <v>2.1945369753497665</v>
      </c>
      <c r="I36">
        <f t="shared" si="4"/>
        <v>90</v>
      </c>
    </row>
    <row r="37" spans="1:9" x14ac:dyDescent="0.45">
      <c r="A37">
        <v>17</v>
      </c>
      <c r="B37">
        <v>550</v>
      </c>
      <c r="C37">
        <v>73</v>
      </c>
      <c r="D37" t="str">
        <f t="shared" si="0"/>
        <v>501+</v>
      </c>
      <c r="E37">
        <f t="shared" si="1"/>
        <v>17</v>
      </c>
      <c r="F37" s="1">
        <f>INDEX('App-Click Conversion by Rank'!$K$12:$S$31,MATCH(E37,'App-Click Conversion by Rank'!$J$12:$J$31,0),MATCH(D37,'App-Click Conversion by Rank'!$K$11:$S$11,0))</f>
        <v>2.660901380342591E-3</v>
      </c>
      <c r="G37" s="3">
        <f t="shared" si="2"/>
        <v>0.19424580076500914</v>
      </c>
      <c r="H37" s="5">
        <f t="shared" si="3"/>
        <v>3.3021786130051551</v>
      </c>
      <c r="I37">
        <f t="shared" si="4"/>
        <v>1241</v>
      </c>
    </row>
    <row r="38" spans="1:9" x14ac:dyDescent="0.45">
      <c r="A38">
        <v>10</v>
      </c>
      <c r="B38">
        <v>300</v>
      </c>
      <c r="C38">
        <v>9</v>
      </c>
      <c r="D38">
        <f t="shared" si="0"/>
        <v>300</v>
      </c>
      <c r="E38">
        <f t="shared" si="1"/>
        <v>10</v>
      </c>
      <c r="F38" s="1">
        <f>INDEX('App-Click Conversion by Rank'!$K$12:$S$31,MATCH(E38,'App-Click Conversion by Rank'!$J$12:$J$31,0),MATCH(D38,'App-Click Conversion by Rank'!$K$11:$S$11,0))</f>
        <v>1.560758082497213E-2</v>
      </c>
      <c r="G38" s="3">
        <f t="shared" si="2"/>
        <v>0.14046822742474918</v>
      </c>
      <c r="H38" s="5">
        <f t="shared" si="3"/>
        <v>1.4046822742474918</v>
      </c>
      <c r="I38">
        <f t="shared" si="4"/>
        <v>90</v>
      </c>
    </row>
    <row r="39" spans="1:9" x14ac:dyDescent="0.45">
      <c r="A39">
        <v>5</v>
      </c>
      <c r="B39">
        <v>100</v>
      </c>
      <c r="C39">
        <v>2</v>
      </c>
      <c r="D39" t="str">
        <f t="shared" si="0"/>
        <v>&lt;=150</v>
      </c>
      <c r="E39">
        <f t="shared" si="1"/>
        <v>5</v>
      </c>
      <c r="F39" s="1">
        <f>INDEX('App-Click Conversion by Rank'!$K$12:$S$31,MATCH(E39,'App-Click Conversion by Rank'!$J$12:$J$31,0),MATCH(D39,'App-Click Conversion by Rank'!$K$11:$S$11,0))</f>
        <v>8.11965811965812E-2</v>
      </c>
      <c r="G39" s="3">
        <f t="shared" si="2"/>
        <v>0.1623931623931624</v>
      </c>
      <c r="H39" s="5">
        <f t="shared" si="3"/>
        <v>0.81196581196581197</v>
      </c>
      <c r="I39">
        <f t="shared" si="4"/>
        <v>10</v>
      </c>
    </row>
    <row r="40" spans="1:9" x14ac:dyDescent="0.45">
      <c r="A40">
        <v>21</v>
      </c>
      <c r="B40">
        <v>600</v>
      </c>
      <c r="C40">
        <v>1</v>
      </c>
      <c r="D40" t="str">
        <f t="shared" si="0"/>
        <v>501+</v>
      </c>
      <c r="E40" t="str">
        <f t="shared" si="1"/>
        <v>20+</v>
      </c>
      <c r="F40" s="1">
        <f>INDEX('App-Click Conversion by Rank'!$K$12:$S$31,MATCH(E40,'App-Click Conversion by Rank'!$J$12:$J$31,0),MATCH(D40,'App-Click Conversion by Rank'!$K$11:$S$11,0))</f>
        <v>5.9893958237873931E-3</v>
      </c>
      <c r="G40" s="3">
        <f t="shared" si="2"/>
        <v>5.9893958237873931E-3</v>
      </c>
      <c r="H40" s="5">
        <f t="shared" si="3"/>
        <v>0.12577731229953526</v>
      </c>
      <c r="I40">
        <f t="shared" si="4"/>
        <v>21</v>
      </c>
    </row>
    <row r="41" spans="1:9" x14ac:dyDescent="0.45">
      <c r="A41">
        <v>2</v>
      </c>
      <c r="B41">
        <v>600</v>
      </c>
      <c r="C41">
        <v>4</v>
      </c>
      <c r="D41" t="str">
        <f t="shared" si="0"/>
        <v>501+</v>
      </c>
      <c r="E41">
        <f t="shared" si="1"/>
        <v>2</v>
      </c>
      <c r="F41" s="1">
        <f>INDEX('App-Click Conversion by Rank'!$K$12:$S$31,MATCH(E41,'App-Click Conversion by Rank'!$J$12:$J$31,0),MATCH(D41,'App-Click Conversion by Rank'!$K$11:$S$11,0))</f>
        <v>7.5343344885123856E-2</v>
      </c>
      <c r="G41" s="3">
        <f t="shared" si="2"/>
        <v>0.30137337954049542</v>
      </c>
      <c r="H41" s="5">
        <f t="shared" si="3"/>
        <v>0.60274675908099085</v>
      </c>
      <c r="I41">
        <f t="shared" si="4"/>
        <v>8</v>
      </c>
    </row>
    <row r="42" spans="1:9" x14ac:dyDescent="0.45">
      <c r="A42">
        <v>27</v>
      </c>
      <c r="B42">
        <v>550</v>
      </c>
      <c r="C42">
        <v>3</v>
      </c>
      <c r="D42" t="str">
        <f t="shared" si="0"/>
        <v>501+</v>
      </c>
      <c r="E42" t="str">
        <f t="shared" si="1"/>
        <v>20+</v>
      </c>
      <c r="F42" s="1">
        <f>INDEX('App-Click Conversion by Rank'!$K$12:$S$31,MATCH(E42,'App-Click Conversion by Rank'!$J$12:$J$31,0),MATCH(D42,'App-Click Conversion by Rank'!$K$11:$S$11,0))</f>
        <v>5.9893958237873931E-3</v>
      </c>
      <c r="G42" s="3">
        <f t="shared" si="2"/>
        <v>1.7968187471362179E-2</v>
      </c>
      <c r="H42" s="5">
        <f t="shared" si="3"/>
        <v>0.48514106172677884</v>
      </c>
      <c r="I42">
        <f t="shared" si="4"/>
        <v>81</v>
      </c>
    </row>
    <row r="43" spans="1:9" x14ac:dyDescent="0.45">
      <c r="A43">
        <v>8</v>
      </c>
      <c r="B43">
        <v>500</v>
      </c>
      <c r="C43">
        <v>997</v>
      </c>
      <c r="D43">
        <f t="shared" si="0"/>
        <v>500</v>
      </c>
      <c r="E43">
        <f t="shared" si="1"/>
        <v>8</v>
      </c>
      <c r="F43" s="1">
        <f>INDEX('App-Click Conversion by Rank'!$K$12:$S$31,MATCH(E43,'App-Click Conversion by Rank'!$J$12:$J$31,0),MATCH(D43,'App-Click Conversion by Rank'!$K$11:$S$11,0))</f>
        <v>9.114719748559456E-3</v>
      </c>
      <c r="G43" s="3">
        <f t="shared" si="2"/>
        <v>9.087375589313778</v>
      </c>
      <c r="H43" s="5">
        <f t="shared" si="3"/>
        <v>72.699004714510224</v>
      </c>
      <c r="I43">
        <f t="shared" si="4"/>
        <v>7976</v>
      </c>
    </row>
    <row r="44" spans="1:9" x14ac:dyDescent="0.45">
      <c r="A44">
        <v>12</v>
      </c>
      <c r="B44">
        <v>300</v>
      </c>
      <c r="C44">
        <v>20</v>
      </c>
      <c r="D44">
        <f t="shared" si="0"/>
        <v>300</v>
      </c>
      <c r="E44">
        <f t="shared" si="1"/>
        <v>12</v>
      </c>
      <c r="F44" s="1">
        <f>INDEX('App-Click Conversion by Rank'!$K$12:$S$31,MATCH(E44,'App-Click Conversion by Rank'!$J$12:$J$31,0),MATCH(D44,'App-Click Conversion by Rank'!$K$11:$S$11,0))</f>
        <v>1.4763014763014764E-2</v>
      </c>
      <c r="G44" s="3">
        <f t="shared" si="2"/>
        <v>0.29526029526029529</v>
      </c>
      <c r="H44" s="5">
        <f t="shared" si="3"/>
        <v>3.5431235431235435</v>
      </c>
      <c r="I44">
        <f t="shared" si="4"/>
        <v>240</v>
      </c>
    </row>
    <row r="45" spans="1:9" x14ac:dyDescent="0.45">
      <c r="A45">
        <v>8</v>
      </c>
      <c r="B45">
        <v>550</v>
      </c>
      <c r="C45">
        <v>292</v>
      </c>
      <c r="D45" t="str">
        <f t="shared" si="0"/>
        <v>501+</v>
      </c>
      <c r="E45">
        <f t="shared" si="1"/>
        <v>8</v>
      </c>
      <c r="F45" s="1">
        <f>INDEX('App-Click Conversion by Rank'!$K$12:$S$31,MATCH(E45,'App-Click Conversion by Rank'!$J$12:$J$31,0),MATCH(D45,'App-Click Conversion by Rank'!$K$11:$S$11,0))</f>
        <v>1.0399562123700055E-2</v>
      </c>
      <c r="G45" s="3">
        <f t="shared" si="2"/>
        <v>3.036672140120416</v>
      </c>
      <c r="H45" s="5">
        <f t="shared" si="3"/>
        <v>24.293377120963328</v>
      </c>
      <c r="I45">
        <f t="shared" si="4"/>
        <v>2336</v>
      </c>
    </row>
    <row r="46" spans="1:9" x14ac:dyDescent="0.45">
      <c r="A46">
        <v>10</v>
      </c>
      <c r="B46">
        <v>550</v>
      </c>
      <c r="C46">
        <v>574</v>
      </c>
      <c r="D46" t="str">
        <f t="shared" si="0"/>
        <v>501+</v>
      </c>
      <c r="E46">
        <f t="shared" si="1"/>
        <v>10</v>
      </c>
      <c r="F46" s="1">
        <f>INDEX('App-Click Conversion by Rank'!$K$12:$S$31,MATCH(E46,'App-Click Conversion by Rank'!$J$12:$J$31,0),MATCH(D46,'App-Click Conversion by Rank'!$K$11:$S$11,0))</f>
        <v>7.1592210767468497E-3</v>
      </c>
      <c r="G46" s="3">
        <f t="shared" si="2"/>
        <v>4.1093928980526915</v>
      </c>
      <c r="H46" s="5">
        <f t="shared" si="3"/>
        <v>41.093928980526911</v>
      </c>
      <c r="I46">
        <f t="shared" si="4"/>
        <v>5740</v>
      </c>
    </row>
    <row r="47" spans="1:9" x14ac:dyDescent="0.45">
      <c r="A47">
        <v>16</v>
      </c>
      <c r="B47">
        <v>500</v>
      </c>
      <c r="C47">
        <v>61</v>
      </c>
      <c r="D47">
        <f t="shared" si="0"/>
        <v>500</v>
      </c>
      <c r="E47">
        <f t="shared" si="1"/>
        <v>16</v>
      </c>
      <c r="F47" s="1">
        <f>INDEX('App-Click Conversion by Rank'!$K$12:$S$31,MATCH(E47,'App-Click Conversion by Rank'!$J$12:$J$31,0),MATCH(D47,'App-Click Conversion by Rank'!$K$11:$S$11,0))</f>
        <v>2.9247910863509749E-3</v>
      </c>
      <c r="G47" s="3">
        <f t="shared" si="2"/>
        <v>0.17841225626740947</v>
      </c>
      <c r="H47" s="5">
        <f t="shared" si="3"/>
        <v>2.8545961002785516</v>
      </c>
      <c r="I47">
        <f t="shared" si="4"/>
        <v>976</v>
      </c>
    </row>
    <row r="48" spans="1:9" x14ac:dyDescent="0.45">
      <c r="A48">
        <v>2</v>
      </c>
      <c r="B48">
        <v>250</v>
      </c>
      <c r="C48">
        <v>23</v>
      </c>
      <c r="D48">
        <f t="shared" si="0"/>
        <v>250</v>
      </c>
      <c r="E48">
        <f t="shared" si="1"/>
        <v>2</v>
      </c>
      <c r="F48" s="1">
        <f>INDEX('App-Click Conversion by Rank'!$K$12:$S$31,MATCH(E48,'App-Click Conversion by Rank'!$J$12:$J$31,0),MATCH(D48,'App-Click Conversion by Rank'!$K$11:$S$11,0))</f>
        <v>0.1417883861774136</v>
      </c>
      <c r="G48" s="3">
        <f t="shared" si="2"/>
        <v>3.261132882080513</v>
      </c>
      <c r="H48" s="5">
        <f t="shared" si="3"/>
        <v>6.522265764161026</v>
      </c>
      <c r="I48">
        <f t="shared" si="4"/>
        <v>46</v>
      </c>
    </row>
    <row r="49" spans="1:9" x14ac:dyDescent="0.45">
      <c r="A49">
        <v>7</v>
      </c>
      <c r="B49">
        <v>250</v>
      </c>
      <c r="C49">
        <v>17</v>
      </c>
      <c r="D49">
        <f t="shared" si="0"/>
        <v>250</v>
      </c>
      <c r="E49">
        <f t="shared" si="1"/>
        <v>7</v>
      </c>
      <c r="F49" s="1">
        <f>INDEX('App-Click Conversion by Rank'!$K$12:$S$31,MATCH(E49,'App-Click Conversion by Rank'!$J$12:$J$31,0),MATCH(D49,'App-Click Conversion by Rank'!$K$11:$S$11,0))</f>
        <v>3.7137069547602972E-2</v>
      </c>
      <c r="G49" s="3">
        <f t="shared" si="2"/>
        <v>0.63133018230925053</v>
      </c>
      <c r="H49" s="5">
        <f t="shared" si="3"/>
        <v>4.4193112761647537</v>
      </c>
      <c r="I49">
        <f t="shared" si="4"/>
        <v>119</v>
      </c>
    </row>
    <row r="50" spans="1:9" x14ac:dyDescent="0.45">
      <c r="A50">
        <v>3</v>
      </c>
      <c r="B50">
        <v>550</v>
      </c>
      <c r="C50">
        <v>262</v>
      </c>
      <c r="D50" t="str">
        <f t="shared" si="0"/>
        <v>501+</v>
      </c>
      <c r="E50">
        <f t="shared" si="1"/>
        <v>3</v>
      </c>
      <c r="F50" s="1">
        <f>INDEX('App-Click Conversion by Rank'!$K$12:$S$31,MATCH(E50,'App-Click Conversion by Rank'!$J$12:$J$31,0),MATCH(D50,'App-Click Conversion by Rank'!$K$11:$S$11,0))</f>
        <v>4.4627885979620793E-2</v>
      </c>
      <c r="G50" s="3">
        <f t="shared" si="2"/>
        <v>11.692506126660648</v>
      </c>
      <c r="H50" s="5">
        <f t="shared" si="3"/>
        <v>35.077518379981946</v>
      </c>
      <c r="I50">
        <f t="shared" si="4"/>
        <v>786</v>
      </c>
    </row>
    <row r="51" spans="1:9" x14ac:dyDescent="0.45">
      <c r="A51">
        <v>18</v>
      </c>
      <c r="B51">
        <v>600</v>
      </c>
      <c r="C51">
        <v>4</v>
      </c>
      <c r="D51" t="str">
        <f t="shared" si="0"/>
        <v>501+</v>
      </c>
      <c r="E51">
        <f t="shared" si="1"/>
        <v>18</v>
      </c>
      <c r="F51" s="1">
        <f>INDEX('App-Click Conversion by Rank'!$K$12:$S$31,MATCH(E51,'App-Click Conversion by Rank'!$J$12:$J$31,0),MATCH(D51,'App-Click Conversion by Rank'!$K$11:$S$11,0))</f>
        <v>2.0408163265306124E-3</v>
      </c>
      <c r="G51" s="3">
        <f t="shared" si="2"/>
        <v>8.1632653061224497E-3</v>
      </c>
      <c r="H51" s="5">
        <f t="shared" si="3"/>
        <v>0.14693877551020409</v>
      </c>
      <c r="I51">
        <f t="shared" si="4"/>
        <v>72</v>
      </c>
    </row>
    <row r="52" spans="1:9" x14ac:dyDescent="0.45">
      <c r="A52">
        <v>12</v>
      </c>
      <c r="B52">
        <v>350</v>
      </c>
      <c r="C52">
        <v>72</v>
      </c>
      <c r="D52">
        <f t="shared" si="0"/>
        <v>350</v>
      </c>
      <c r="E52">
        <f t="shared" si="1"/>
        <v>12</v>
      </c>
      <c r="F52" s="1">
        <f>INDEX('App-Click Conversion by Rank'!$K$12:$S$31,MATCH(E52,'App-Click Conversion by Rank'!$J$12:$J$31,0),MATCH(D52,'App-Click Conversion by Rank'!$K$11:$S$11,0))</f>
        <v>7.4384007438400741E-3</v>
      </c>
      <c r="G52" s="3">
        <f t="shared" si="2"/>
        <v>0.53556485355648531</v>
      </c>
      <c r="H52" s="5">
        <f t="shared" si="3"/>
        <v>6.4267782426778233</v>
      </c>
      <c r="I52">
        <f t="shared" si="4"/>
        <v>864</v>
      </c>
    </row>
    <row r="53" spans="1:9" x14ac:dyDescent="0.45">
      <c r="A53">
        <v>24</v>
      </c>
      <c r="B53">
        <v>450</v>
      </c>
      <c r="C53">
        <v>4</v>
      </c>
      <c r="D53">
        <f t="shared" si="0"/>
        <v>450</v>
      </c>
      <c r="E53" t="str">
        <f t="shared" si="1"/>
        <v>20+</v>
      </c>
      <c r="F53" s="1">
        <f>INDEX('App-Click Conversion by Rank'!$K$12:$S$31,MATCH(E53,'App-Click Conversion by Rank'!$J$12:$J$31,0),MATCH(D53,'App-Click Conversion by Rank'!$K$11:$S$11,0))</f>
        <v>5.6022408963585435E-3</v>
      </c>
      <c r="G53" s="3">
        <f t="shared" si="2"/>
        <v>2.2408963585434174E-2</v>
      </c>
      <c r="H53" s="5">
        <f t="shared" si="3"/>
        <v>0.53781512605042014</v>
      </c>
      <c r="I53">
        <f t="shared" si="4"/>
        <v>96</v>
      </c>
    </row>
    <row r="54" spans="1:9" x14ac:dyDescent="0.45">
      <c r="A54">
        <v>22</v>
      </c>
      <c r="B54">
        <v>500</v>
      </c>
      <c r="C54">
        <v>5</v>
      </c>
      <c r="D54">
        <f t="shared" si="0"/>
        <v>500</v>
      </c>
      <c r="E54" t="str">
        <f t="shared" si="1"/>
        <v>20+</v>
      </c>
      <c r="F54" s="1">
        <f>INDEX('App-Click Conversion by Rank'!$K$12:$S$31,MATCH(E54,'App-Click Conversion by Rank'!$J$12:$J$31,0),MATCH(D54,'App-Click Conversion by Rank'!$K$11:$S$11,0))</f>
        <v>5.1121544079290558E-3</v>
      </c>
      <c r="G54" s="3">
        <f t="shared" si="2"/>
        <v>2.5560772039645279E-2</v>
      </c>
      <c r="H54" s="5">
        <f t="shared" si="3"/>
        <v>0.56233698487219619</v>
      </c>
      <c r="I54">
        <f t="shared" si="4"/>
        <v>110</v>
      </c>
    </row>
    <row r="55" spans="1:9" x14ac:dyDescent="0.45">
      <c r="A55">
        <v>4</v>
      </c>
      <c r="B55">
        <v>250</v>
      </c>
      <c r="C55">
        <v>40</v>
      </c>
      <c r="D55">
        <f t="shared" si="0"/>
        <v>250</v>
      </c>
      <c r="E55">
        <f t="shared" si="1"/>
        <v>4</v>
      </c>
      <c r="F55" s="1">
        <f>INDEX('App-Click Conversion by Rank'!$K$12:$S$31,MATCH(E55,'App-Click Conversion by Rank'!$J$12:$J$31,0),MATCH(D55,'App-Click Conversion by Rank'!$K$11:$S$11,0))</f>
        <v>6.9376693766937669E-2</v>
      </c>
      <c r="G55" s="3">
        <f t="shared" si="2"/>
        <v>2.7750677506775068</v>
      </c>
      <c r="H55" s="5">
        <f t="shared" si="3"/>
        <v>11.100271002710027</v>
      </c>
      <c r="I55">
        <f t="shared" si="4"/>
        <v>160</v>
      </c>
    </row>
    <row r="56" spans="1:9" x14ac:dyDescent="0.45">
      <c r="A56">
        <v>30</v>
      </c>
      <c r="B56">
        <v>400</v>
      </c>
      <c r="C56">
        <v>2</v>
      </c>
      <c r="D56">
        <f t="shared" si="0"/>
        <v>400</v>
      </c>
      <c r="E56" t="str">
        <f t="shared" si="1"/>
        <v>20+</v>
      </c>
      <c r="F56" s="1">
        <f>INDEX('App-Click Conversion by Rank'!$K$12:$S$31,MATCH(E56,'App-Click Conversion by Rank'!$J$12:$J$31,0),MATCH(D56,'App-Click Conversion by Rank'!$K$11:$S$11,0))</f>
        <v>6.4196625091709463E-3</v>
      </c>
      <c r="G56" s="3">
        <f t="shared" si="2"/>
        <v>1.2839325018341893E-2</v>
      </c>
      <c r="H56" s="5">
        <f t="shared" si="3"/>
        <v>0.38517975055025677</v>
      </c>
      <c r="I56">
        <f t="shared" si="4"/>
        <v>60</v>
      </c>
    </row>
    <row r="57" spans="1:9" x14ac:dyDescent="0.45">
      <c r="A57">
        <v>34</v>
      </c>
      <c r="B57">
        <v>350</v>
      </c>
      <c r="C57">
        <v>1</v>
      </c>
      <c r="D57">
        <f t="shared" si="0"/>
        <v>350</v>
      </c>
      <c r="E57" t="str">
        <f t="shared" si="1"/>
        <v>20+</v>
      </c>
      <c r="F57" s="1">
        <f>INDEX('App-Click Conversion by Rank'!$K$12:$S$31,MATCH(E57,'App-Click Conversion by Rank'!$J$12:$J$31,0),MATCH(D57,'App-Click Conversion by Rank'!$K$11:$S$11,0))</f>
        <v>4.1279669762641896E-3</v>
      </c>
      <c r="G57" s="3">
        <f t="shared" si="2"/>
        <v>4.1279669762641896E-3</v>
      </c>
      <c r="H57" s="5">
        <f t="shared" si="3"/>
        <v>0.14035087719298245</v>
      </c>
      <c r="I57">
        <f t="shared" si="4"/>
        <v>34</v>
      </c>
    </row>
    <row r="58" spans="1:9" x14ac:dyDescent="0.45">
      <c r="A58">
        <v>1</v>
      </c>
      <c r="B58">
        <v>400</v>
      </c>
      <c r="C58">
        <v>16</v>
      </c>
      <c r="D58">
        <f t="shared" si="0"/>
        <v>400</v>
      </c>
      <c r="E58">
        <f t="shared" si="1"/>
        <v>1</v>
      </c>
      <c r="F58" s="1">
        <f>INDEX('App-Click Conversion by Rank'!$K$12:$S$31,MATCH(E58,'App-Click Conversion by Rank'!$J$12:$J$31,0),MATCH(D58,'App-Click Conversion by Rank'!$K$11:$S$11,0))</f>
        <v>0.18873271367036953</v>
      </c>
      <c r="G58" s="3">
        <f t="shared" si="2"/>
        <v>3.0197234187259125</v>
      </c>
      <c r="H58" s="5">
        <f t="shared" si="3"/>
        <v>3.0197234187259125</v>
      </c>
      <c r="I58">
        <f t="shared" si="4"/>
        <v>16</v>
      </c>
    </row>
    <row r="59" spans="1:9" x14ac:dyDescent="0.45">
      <c r="A59">
        <v>28</v>
      </c>
      <c r="B59">
        <v>400</v>
      </c>
      <c r="C59">
        <v>2</v>
      </c>
      <c r="D59">
        <f t="shared" si="0"/>
        <v>400</v>
      </c>
      <c r="E59" t="str">
        <f t="shared" si="1"/>
        <v>20+</v>
      </c>
      <c r="F59" s="1">
        <f>INDEX('App-Click Conversion by Rank'!$K$12:$S$31,MATCH(E59,'App-Click Conversion by Rank'!$J$12:$J$31,0),MATCH(D59,'App-Click Conversion by Rank'!$K$11:$S$11,0))</f>
        <v>6.4196625091709463E-3</v>
      </c>
      <c r="G59" s="3">
        <f t="shared" si="2"/>
        <v>1.2839325018341893E-2</v>
      </c>
      <c r="H59" s="5">
        <f t="shared" si="3"/>
        <v>0.35950110051357298</v>
      </c>
      <c r="I59">
        <f t="shared" si="4"/>
        <v>56</v>
      </c>
    </row>
    <row r="60" spans="1:9" x14ac:dyDescent="0.45">
      <c r="A60">
        <v>25</v>
      </c>
      <c r="B60">
        <v>500</v>
      </c>
      <c r="C60">
        <v>4</v>
      </c>
      <c r="D60">
        <f t="shared" si="0"/>
        <v>500</v>
      </c>
      <c r="E60" t="str">
        <f t="shared" si="1"/>
        <v>20+</v>
      </c>
      <c r="F60" s="1">
        <f>INDEX('App-Click Conversion by Rank'!$K$12:$S$31,MATCH(E60,'App-Click Conversion by Rank'!$J$12:$J$31,0),MATCH(D60,'App-Click Conversion by Rank'!$K$11:$S$11,0))</f>
        <v>5.1121544079290558E-3</v>
      </c>
      <c r="G60" s="3">
        <f t="shared" si="2"/>
        <v>2.0448617631716223E-2</v>
      </c>
      <c r="H60" s="5">
        <f t="shared" si="3"/>
        <v>0.5112154407929056</v>
      </c>
      <c r="I60">
        <f t="shared" si="4"/>
        <v>100</v>
      </c>
    </row>
    <row r="61" spans="1:9" x14ac:dyDescent="0.45">
      <c r="A61">
        <v>15</v>
      </c>
      <c r="B61">
        <v>400</v>
      </c>
      <c r="C61">
        <v>3</v>
      </c>
      <c r="D61">
        <f t="shared" si="0"/>
        <v>400</v>
      </c>
      <c r="E61">
        <f t="shared" si="1"/>
        <v>15</v>
      </c>
      <c r="F61" s="1">
        <f>INDEX('App-Click Conversion by Rank'!$K$12:$S$31,MATCH(E61,'App-Click Conversion by Rank'!$J$12:$J$31,0),MATCH(D61,'App-Click Conversion by Rank'!$K$11:$S$11,0))</f>
        <v>3.6764705882352941E-3</v>
      </c>
      <c r="G61" s="3">
        <f t="shared" si="2"/>
        <v>1.1029411764705881E-2</v>
      </c>
      <c r="H61" s="5">
        <f t="shared" si="3"/>
        <v>0.16544117647058823</v>
      </c>
      <c r="I61">
        <f t="shared" si="4"/>
        <v>45</v>
      </c>
    </row>
    <row r="62" spans="1:9" x14ac:dyDescent="0.45">
      <c r="A62">
        <v>13</v>
      </c>
      <c r="B62">
        <v>650</v>
      </c>
      <c r="C62">
        <v>16</v>
      </c>
      <c r="D62" t="str">
        <f t="shared" si="0"/>
        <v>501+</v>
      </c>
      <c r="E62">
        <f t="shared" si="1"/>
        <v>13</v>
      </c>
      <c r="F62" s="1">
        <f>INDEX('App-Click Conversion by Rank'!$K$12:$S$31,MATCH(E62,'App-Click Conversion by Rank'!$J$12:$J$31,0),MATCH(D62,'App-Click Conversion by Rank'!$K$11:$S$11,0))</f>
        <v>3.8179596823457542E-3</v>
      </c>
      <c r="G62" s="3">
        <f t="shared" si="2"/>
        <v>6.1087354917532068E-2</v>
      </c>
      <c r="H62" s="5">
        <f t="shared" si="3"/>
        <v>0.79413561392791687</v>
      </c>
      <c r="I62">
        <f t="shared" si="4"/>
        <v>208</v>
      </c>
    </row>
    <row r="63" spans="1:9" x14ac:dyDescent="0.45">
      <c r="A63">
        <v>31</v>
      </c>
      <c r="B63">
        <v>500</v>
      </c>
      <c r="C63">
        <v>1</v>
      </c>
      <c r="D63">
        <f t="shared" si="0"/>
        <v>500</v>
      </c>
      <c r="E63" t="str">
        <f t="shared" si="1"/>
        <v>20+</v>
      </c>
      <c r="F63" s="1">
        <f>INDEX('App-Click Conversion by Rank'!$K$12:$S$31,MATCH(E63,'App-Click Conversion by Rank'!$J$12:$J$31,0),MATCH(D63,'App-Click Conversion by Rank'!$K$11:$S$11,0))</f>
        <v>5.1121544079290558E-3</v>
      </c>
      <c r="G63" s="3">
        <f t="shared" si="2"/>
        <v>5.1121544079290558E-3</v>
      </c>
      <c r="H63" s="5">
        <f t="shared" si="3"/>
        <v>0.15847678664580073</v>
      </c>
      <c r="I63">
        <f t="shared" si="4"/>
        <v>31</v>
      </c>
    </row>
    <row r="64" spans="1:9" x14ac:dyDescent="0.45">
      <c r="A64">
        <v>34</v>
      </c>
      <c r="B64">
        <v>550</v>
      </c>
      <c r="C64">
        <v>1</v>
      </c>
      <c r="D64" t="str">
        <f t="shared" si="0"/>
        <v>501+</v>
      </c>
      <c r="E64" t="str">
        <f t="shared" si="1"/>
        <v>20+</v>
      </c>
      <c r="F64" s="1">
        <f>INDEX('App-Click Conversion by Rank'!$K$12:$S$31,MATCH(E64,'App-Click Conversion by Rank'!$J$12:$J$31,0),MATCH(D64,'App-Click Conversion by Rank'!$K$11:$S$11,0))</f>
        <v>5.9893958237873931E-3</v>
      </c>
      <c r="G64" s="3">
        <f t="shared" si="2"/>
        <v>5.9893958237873931E-3</v>
      </c>
      <c r="H64" s="5">
        <f t="shared" si="3"/>
        <v>0.20363945800877137</v>
      </c>
      <c r="I64">
        <f t="shared" si="4"/>
        <v>34</v>
      </c>
    </row>
    <row r="65" spans="1:9" x14ac:dyDescent="0.45">
      <c r="A65">
        <v>11</v>
      </c>
      <c r="B65">
        <v>700</v>
      </c>
      <c r="C65">
        <v>1</v>
      </c>
      <c r="D65" t="str">
        <f t="shared" si="0"/>
        <v>501+</v>
      </c>
      <c r="E65">
        <f t="shared" si="1"/>
        <v>11</v>
      </c>
      <c r="F65" s="1">
        <f>INDEX('App-Click Conversion by Rank'!$K$12:$S$31,MATCH(E65,'App-Click Conversion by Rank'!$J$12:$J$31,0),MATCH(D65,'App-Click Conversion by Rank'!$K$11:$S$11,0))</f>
        <v>7.0175438596491229E-3</v>
      </c>
      <c r="G65" s="3">
        <f t="shared" si="2"/>
        <v>7.0175438596491229E-3</v>
      </c>
      <c r="H65" s="5">
        <f t="shared" si="3"/>
        <v>7.7192982456140355E-2</v>
      </c>
      <c r="I65">
        <f t="shared" si="4"/>
        <v>11</v>
      </c>
    </row>
    <row r="66" spans="1:9" x14ac:dyDescent="0.45">
      <c r="A66">
        <v>2</v>
      </c>
      <c r="B66">
        <v>200</v>
      </c>
      <c r="C66">
        <v>9</v>
      </c>
      <c r="D66">
        <f t="shared" si="0"/>
        <v>200</v>
      </c>
      <c r="E66">
        <f t="shared" si="1"/>
        <v>2</v>
      </c>
      <c r="F66" s="1">
        <f>INDEX('App-Click Conversion by Rank'!$K$12:$S$31,MATCH(E66,'App-Click Conversion by Rank'!$J$12:$J$31,0),MATCH(D66,'App-Click Conversion by Rank'!$K$11:$S$11,0))</f>
        <v>0.13572679509632224</v>
      </c>
      <c r="G66" s="3">
        <f t="shared" si="2"/>
        <v>1.2215411558669</v>
      </c>
      <c r="H66" s="5">
        <f t="shared" si="3"/>
        <v>2.4430823117338001</v>
      </c>
      <c r="I66">
        <f t="shared" si="4"/>
        <v>18</v>
      </c>
    </row>
    <row r="67" spans="1:9" x14ac:dyDescent="0.45">
      <c r="A67">
        <v>4</v>
      </c>
      <c r="B67">
        <v>200</v>
      </c>
      <c r="C67">
        <v>3</v>
      </c>
      <c r="D67">
        <f t="shared" ref="D67:D130" si="5">IF(B67&lt;=150,"&lt;=150",IF(B67&gt;500,"501+",B67))</f>
        <v>200</v>
      </c>
      <c r="E67">
        <f t="shared" ref="E67:E130" si="6">IF(A67&gt;=20,"20+",A67)</f>
        <v>4</v>
      </c>
      <c r="F67" s="1">
        <f>INDEX('App-Click Conversion by Rank'!$K$12:$S$31,MATCH(E67,'App-Click Conversion by Rank'!$J$12:$J$31,0),MATCH(D67,'App-Click Conversion by Rank'!$K$11:$S$11,0))</f>
        <v>0.10109289617486339</v>
      </c>
      <c r="G67" s="3">
        <f t="shared" ref="G67:G130" si="7">C67*F67</f>
        <v>0.30327868852459017</v>
      </c>
      <c r="H67" s="5">
        <f t="shared" ref="H67:H130" si="8">G67*A67</f>
        <v>1.2131147540983607</v>
      </c>
      <c r="I67">
        <f t="shared" ref="I67:I130" si="9">C67*A67</f>
        <v>12</v>
      </c>
    </row>
    <row r="68" spans="1:9" x14ac:dyDescent="0.45">
      <c r="A68">
        <v>2</v>
      </c>
      <c r="B68">
        <v>50</v>
      </c>
      <c r="C68">
        <v>1</v>
      </c>
      <c r="D68" t="str">
        <f t="shared" si="5"/>
        <v>&lt;=150</v>
      </c>
      <c r="E68">
        <f t="shared" si="6"/>
        <v>2</v>
      </c>
      <c r="F68" s="1">
        <f>INDEX('App-Click Conversion by Rank'!$K$12:$S$31,MATCH(E68,'App-Click Conversion by Rank'!$J$12:$J$31,0),MATCH(D68,'App-Click Conversion by Rank'!$K$11:$S$11,0))</f>
        <v>0.14536340852130325</v>
      </c>
      <c r="G68" s="3">
        <f t="shared" si="7"/>
        <v>0.14536340852130325</v>
      </c>
      <c r="H68" s="5">
        <f t="shared" si="8"/>
        <v>0.2907268170426065</v>
      </c>
      <c r="I68">
        <f t="shared" si="9"/>
        <v>2</v>
      </c>
    </row>
    <row r="69" spans="1:9" x14ac:dyDescent="0.45">
      <c r="A69">
        <v>9</v>
      </c>
      <c r="B69">
        <v>200</v>
      </c>
      <c r="C69">
        <v>1</v>
      </c>
      <c r="D69">
        <f t="shared" si="5"/>
        <v>200</v>
      </c>
      <c r="E69">
        <f t="shared" si="6"/>
        <v>9</v>
      </c>
      <c r="F69" s="1">
        <f>INDEX('App-Click Conversion by Rank'!$K$12:$S$31,MATCH(E69,'App-Click Conversion by Rank'!$J$12:$J$31,0),MATCH(D69,'App-Click Conversion by Rank'!$K$11:$S$11,0))</f>
        <v>1.7595307917888565E-2</v>
      </c>
      <c r="G69" s="3">
        <f t="shared" si="7"/>
        <v>1.7595307917888565E-2</v>
      </c>
      <c r="H69" s="5">
        <f t="shared" si="8"/>
        <v>0.15835777126099709</v>
      </c>
      <c r="I69">
        <f t="shared" si="9"/>
        <v>9</v>
      </c>
    </row>
    <row r="70" spans="1:9" x14ac:dyDescent="0.45">
      <c r="A70">
        <v>5</v>
      </c>
      <c r="B70">
        <v>400</v>
      </c>
      <c r="C70">
        <v>420</v>
      </c>
      <c r="D70">
        <f t="shared" si="5"/>
        <v>400</v>
      </c>
      <c r="E70">
        <f t="shared" si="6"/>
        <v>5</v>
      </c>
      <c r="F70" s="1">
        <f>INDEX('App-Click Conversion by Rank'!$K$12:$S$31,MATCH(E70,'App-Click Conversion by Rank'!$J$12:$J$31,0),MATCH(D70,'App-Click Conversion by Rank'!$K$11:$S$11,0))</f>
        <v>2.8956565152271591E-2</v>
      </c>
      <c r="G70" s="3">
        <f t="shared" si="7"/>
        <v>12.161757363954068</v>
      </c>
      <c r="H70" s="5">
        <f t="shared" si="8"/>
        <v>60.80878681977034</v>
      </c>
      <c r="I70">
        <f t="shared" si="9"/>
        <v>2100</v>
      </c>
    </row>
    <row r="71" spans="1:9" x14ac:dyDescent="0.45">
      <c r="A71">
        <v>11</v>
      </c>
      <c r="B71">
        <v>450</v>
      </c>
      <c r="C71">
        <v>442</v>
      </c>
      <c r="D71">
        <f t="shared" si="5"/>
        <v>450</v>
      </c>
      <c r="E71">
        <f t="shared" si="6"/>
        <v>11</v>
      </c>
      <c r="F71" s="1">
        <f>INDEX('App-Click Conversion by Rank'!$K$12:$S$31,MATCH(E71,'App-Click Conversion by Rank'!$J$12:$J$31,0),MATCH(D71,'App-Click Conversion by Rank'!$K$11:$S$11,0))</f>
        <v>5.3763440860215058E-3</v>
      </c>
      <c r="G71" s="3">
        <f t="shared" si="7"/>
        <v>2.3763440860215055</v>
      </c>
      <c r="H71" s="5">
        <f t="shared" si="8"/>
        <v>26.13978494623656</v>
      </c>
      <c r="I71">
        <f t="shared" si="9"/>
        <v>4862</v>
      </c>
    </row>
    <row r="72" spans="1:9" x14ac:dyDescent="0.45">
      <c r="A72">
        <v>7</v>
      </c>
      <c r="B72">
        <v>450</v>
      </c>
      <c r="C72">
        <v>365</v>
      </c>
      <c r="D72">
        <f t="shared" si="5"/>
        <v>450</v>
      </c>
      <c r="E72">
        <f t="shared" si="6"/>
        <v>7</v>
      </c>
      <c r="F72" s="1">
        <f>INDEX('App-Click Conversion by Rank'!$K$12:$S$31,MATCH(E72,'App-Click Conversion by Rank'!$J$12:$J$31,0),MATCH(D72,'App-Click Conversion by Rank'!$K$11:$S$11,0))</f>
        <v>1.5087040618955513E-2</v>
      </c>
      <c r="G72" s="3">
        <f t="shared" si="7"/>
        <v>5.5067698259187621</v>
      </c>
      <c r="H72" s="5">
        <f t="shared" si="8"/>
        <v>38.547388781431337</v>
      </c>
      <c r="I72">
        <f t="shared" si="9"/>
        <v>2555</v>
      </c>
    </row>
    <row r="73" spans="1:9" x14ac:dyDescent="0.45">
      <c r="A73">
        <v>13</v>
      </c>
      <c r="B73">
        <v>600</v>
      </c>
      <c r="C73">
        <v>153</v>
      </c>
      <c r="D73" t="str">
        <f t="shared" si="5"/>
        <v>501+</v>
      </c>
      <c r="E73">
        <f t="shared" si="6"/>
        <v>13</v>
      </c>
      <c r="F73" s="1">
        <f>INDEX('App-Click Conversion by Rank'!$K$12:$S$31,MATCH(E73,'App-Click Conversion by Rank'!$J$12:$J$31,0),MATCH(D73,'App-Click Conversion by Rank'!$K$11:$S$11,0))</f>
        <v>3.8179596823457542E-3</v>
      </c>
      <c r="G73" s="3">
        <f t="shared" si="7"/>
        <v>0.58414783139890036</v>
      </c>
      <c r="H73" s="5">
        <f t="shared" si="8"/>
        <v>7.5939218081857049</v>
      </c>
      <c r="I73">
        <f t="shared" si="9"/>
        <v>1989</v>
      </c>
    </row>
    <row r="74" spans="1:9" x14ac:dyDescent="0.45">
      <c r="A74">
        <v>8</v>
      </c>
      <c r="B74">
        <v>350</v>
      </c>
      <c r="C74">
        <v>87</v>
      </c>
      <c r="D74">
        <f t="shared" si="5"/>
        <v>350</v>
      </c>
      <c r="E74">
        <f t="shared" si="6"/>
        <v>8</v>
      </c>
      <c r="F74" s="1">
        <f>INDEX('App-Click Conversion by Rank'!$K$12:$S$31,MATCH(E74,'App-Click Conversion by Rank'!$J$12:$J$31,0),MATCH(D74,'App-Click Conversion by Rank'!$K$11:$S$11,0))</f>
        <v>1.5720524017467249E-2</v>
      </c>
      <c r="G74" s="3">
        <f t="shared" si="7"/>
        <v>1.3676855895196507</v>
      </c>
      <c r="H74" s="5">
        <f t="shared" si="8"/>
        <v>10.941484716157206</v>
      </c>
      <c r="I74">
        <f t="shared" si="9"/>
        <v>696</v>
      </c>
    </row>
    <row r="75" spans="1:9" x14ac:dyDescent="0.45">
      <c r="A75">
        <v>12</v>
      </c>
      <c r="B75">
        <v>600</v>
      </c>
      <c r="C75">
        <v>195</v>
      </c>
      <c r="D75" t="str">
        <f t="shared" si="5"/>
        <v>501+</v>
      </c>
      <c r="E75">
        <f t="shared" si="6"/>
        <v>12</v>
      </c>
      <c r="F75" s="1">
        <f>INDEX('App-Click Conversion by Rank'!$K$12:$S$31,MATCH(E75,'App-Click Conversion by Rank'!$J$12:$J$31,0),MATCH(D75,'App-Click Conversion by Rank'!$K$11:$S$11,0))</f>
        <v>4.3071439180157435E-3</v>
      </c>
      <c r="G75" s="3">
        <f t="shared" si="7"/>
        <v>0.83989306401306996</v>
      </c>
      <c r="H75" s="5">
        <f t="shared" si="8"/>
        <v>10.078716768156839</v>
      </c>
      <c r="I75">
        <f t="shared" si="9"/>
        <v>2340</v>
      </c>
    </row>
    <row r="76" spans="1:9" x14ac:dyDescent="0.45">
      <c r="A76">
        <v>14</v>
      </c>
      <c r="B76">
        <v>500</v>
      </c>
      <c r="C76">
        <v>105</v>
      </c>
      <c r="D76">
        <f t="shared" si="5"/>
        <v>500</v>
      </c>
      <c r="E76">
        <f t="shared" si="6"/>
        <v>14</v>
      </c>
      <c r="F76" s="1">
        <f>INDEX('App-Click Conversion by Rank'!$K$12:$S$31,MATCH(E76,'App-Click Conversion by Rank'!$J$12:$J$31,0),MATCH(D76,'App-Click Conversion by Rank'!$K$11:$S$11,0))</f>
        <v>4.8089420327527945E-3</v>
      </c>
      <c r="G76" s="3">
        <f t="shared" si="7"/>
        <v>0.5049389134390434</v>
      </c>
      <c r="H76" s="5">
        <f t="shared" si="8"/>
        <v>7.0691447881466072</v>
      </c>
      <c r="I76">
        <f t="shared" si="9"/>
        <v>1470</v>
      </c>
    </row>
    <row r="77" spans="1:9" x14ac:dyDescent="0.45">
      <c r="A77">
        <v>14</v>
      </c>
      <c r="B77">
        <v>450</v>
      </c>
      <c r="C77">
        <v>44</v>
      </c>
      <c r="D77">
        <f t="shared" si="5"/>
        <v>450</v>
      </c>
      <c r="E77">
        <f t="shared" si="6"/>
        <v>14</v>
      </c>
      <c r="F77" s="1">
        <f>INDEX('App-Click Conversion by Rank'!$K$12:$S$31,MATCH(E77,'App-Click Conversion by Rank'!$J$12:$J$31,0),MATCH(D77,'App-Click Conversion by Rank'!$K$11:$S$11,0))</f>
        <v>3.8513383400731755E-3</v>
      </c>
      <c r="G77" s="3">
        <f t="shared" si="7"/>
        <v>0.16945888696321973</v>
      </c>
      <c r="H77" s="5">
        <f t="shared" si="8"/>
        <v>2.3724244174850764</v>
      </c>
      <c r="I77">
        <f t="shared" si="9"/>
        <v>616</v>
      </c>
    </row>
    <row r="78" spans="1:9" x14ac:dyDescent="0.45">
      <c r="A78">
        <v>14</v>
      </c>
      <c r="B78">
        <v>550</v>
      </c>
      <c r="C78">
        <v>121</v>
      </c>
      <c r="D78" t="str">
        <f t="shared" si="5"/>
        <v>501+</v>
      </c>
      <c r="E78">
        <f t="shared" si="6"/>
        <v>14</v>
      </c>
      <c r="F78" s="1">
        <f>INDEX('App-Click Conversion by Rank'!$K$12:$S$31,MATCH(E78,'App-Click Conversion by Rank'!$J$12:$J$31,0),MATCH(D78,'App-Click Conversion by Rank'!$K$11:$S$11,0))</f>
        <v>3.5937500000000002E-3</v>
      </c>
      <c r="G78" s="3">
        <f t="shared" si="7"/>
        <v>0.43484375000000003</v>
      </c>
      <c r="H78" s="5">
        <f t="shared" si="8"/>
        <v>6.0878125000000001</v>
      </c>
      <c r="I78">
        <f t="shared" si="9"/>
        <v>1694</v>
      </c>
    </row>
    <row r="79" spans="1:9" x14ac:dyDescent="0.45">
      <c r="A79">
        <v>26</v>
      </c>
      <c r="B79">
        <v>550</v>
      </c>
      <c r="C79">
        <v>4</v>
      </c>
      <c r="D79" t="str">
        <f t="shared" si="5"/>
        <v>501+</v>
      </c>
      <c r="E79" t="str">
        <f t="shared" si="6"/>
        <v>20+</v>
      </c>
      <c r="F79" s="1">
        <f>INDEX('App-Click Conversion by Rank'!$K$12:$S$31,MATCH(E79,'App-Click Conversion by Rank'!$J$12:$J$31,0),MATCH(D79,'App-Click Conversion by Rank'!$K$11:$S$11,0))</f>
        <v>5.9893958237873931E-3</v>
      </c>
      <c r="G79" s="3">
        <f t="shared" si="7"/>
        <v>2.3957583295149572E-2</v>
      </c>
      <c r="H79" s="5">
        <f t="shared" si="8"/>
        <v>0.62289716567388886</v>
      </c>
      <c r="I79">
        <f t="shared" si="9"/>
        <v>104</v>
      </c>
    </row>
    <row r="80" spans="1:9" x14ac:dyDescent="0.45">
      <c r="A80">
        <v>11</v>
      </c>
      <c r="B80">
        <v>300</v>
      </c>
      <c r="C80">
        <v>15</v>
      </c>
      <c r="D80">
        <f t="shared" si="5"/>
        <v>300</v>
      </c>
      <c r="E80">
        <f t="shared" si="6"/>
        <v>11</v>
      </c>
      <c r="F80" s="1">
        <f>INDEX('App-Click Conversion by Rank'!$K$12:$S$31,MATCH(E80,'App-Click Conversion by Rank'!$J$12:$J$31,0),MATCH(D80,'App-Click Conversion by Rank'!$K$11:$S$11,0))</f>
        <v>1.0526315789473684E-2</v>
      </c>
      <c r="G80" s="3">
        <f t="shared" si="7"/>
        <v>0.15789473684210525</v>
      </c>
      <c r="H80" s="5">
        <f t="shared" si="8"/>
        <v>1.7368421052631577</v>
      </c>
      <c r="I80">
        <f t="shared" si="9"/>
        <v>165</v>
      </c>
    </row>
    <row r="81" spans="1:9" x14ac:dyDescent="0.45">
      <c r="A81">
        <v>23</v>
      </c>
      <c r="B81">
        <v>500</v>
      </c>
      <c r="C81">
        <v>4</v>
      </c>
      <c r="D81">
        <f t="shared" si="5"/>
        <v>500</v>
      </c>
      <c r="E81" t="str">
        <f t="shared" si="6"/>
        <v>20+</v>
      </c>
      <c r="F81" s="1">
        <f>INDEX('App-Click Conversion by Rank'!$K$12:$S$31,MATCH(E81,'App-Click Conversion by Rank'!$J$12:$J$31,0),MATCH(D81,'App-Click Conversion by Rank'!$K$11:$S$11,0))</f>
        <v>5.1121544079290558E-3</v>
      </c>
      <c r="G81" s="3">
        <f t="shared" si="7"/>
        <v>2.0448617631716223E-2</v>
      </c>
      <c r="H81" s="5">
        <f t="shared" si="8"/>
        <v>0.47031820552947312</v>
      </c>
      <c r="I81">
        <f t="shared" si="9"/>
        <v>92</v>
      </c>
    </row>
    <row r="82" spans="1:9" x14ac:dyDescent="0.45">
      <c r="A82">
        <v>12</v>
      </c>
      <c r="B82">
        <v>650</v>
      </c>
      <c r="C82">
        <v>24</v>
      </c>
      <c r="D82" t="str">
        <f t="shared" si="5"/>
        <v>501+</v>
      </c>
      <c r="E82">
        <f t="shared" si="6"/>
        <v>12</v>
      </c>
      <c r="F82" s="1">
        <f>INDEX('App-Click Conversion by Rank'!$K$12:$S$31,MATCH(E82,'App-Click Conversion by Rank'!$J$12:$J$31,0),MATCH(D82,'App-Click Conversion by Rank'!$K$11:$S$11,0))</f>
        <v>4.3071439180157435E-3</v>
      </c>
      <c r="G82" s="3">
        <f t="shared" si="7"/>
        <v>0.10337145403237785</v>
      </c>
      <c r="H82" s="5">
        <f t="shared" si="8"/>
        <v>1.2404574483885342</v>
      </c>
      <c r="I82">
        <f t="shared" si="9"/>
        <v>288</v>
      </c>
    </row>
    <row r="83" spans="1:9" x14ac:dyDescent="0.45">
      <c r="A83">
        <v>18</v>
      </c>
      <c r="B83">
        <v>650</v>
      </c>
      <c r="C83">
        <v>1</v>
      </c>
      <c r="D83" t="str">
        <f t="shared" si="5"/>
        <v>501+</v>
      </c>
      <c r="E83">
        <f t="shared" si="6"/>
        <v>18</v>
      </c>
      <c r="F83" s="1">
        <f>INDEX('App-Click Conversion by Rank'!$K$12:$S$31,MATCH(E83,'App-Click Conversion by Rank'!$J$12:$J$31,0),MATCH(D83,'App-Click Conversion by Rank'!$K$11:$S$11,0))</f>
        <v>2.0408163265306124E-3</v>
      </c>
      <c r="G83" s="3">
        <f t="shared" si="7"/>
        <v>2.0408163265306124E-3</v>
      </c>
      <c r="H83" s="5">
        <f t="shared" si="8"/>
        <v>3.6734693877551024E-2</v>
      </c>
      <c r="I83">
        <f t="shared" si="9"/>
        <v>18</v>
      </c>
    </row>
    <row r="84" spans="1:9" x14ac:dyDescent="0.45">
      <c r="A84">
        <v>31</v>
      </c>
      <c r="B84">
        <v>450</v>
      </c>
      <c r="C84">
        <v>1</v>
      </c>
      <c r="D84">
        <f t="shared" si="5"/>
        <v>450</v>
      </c>
      <c r="E84" t="str">
        <f t="shared" si="6"/>
        <v>20+</v>
      </c>
      <c r="F84" s="1">
        <f>INDEX('App-Click Conversion by Rank'!$K$12:$S$31,MATCH(E84,'App-Click Conversion by Rank'!$J$12:$J$31,0),MATCH(D84,'App-Click Conversion by Rank'!$K$11:$S$11,0))</f>
        <v>5.6022408963585435E-3</v>
      </c>
      <c r="G84" s="3">
        <f t="shared" si="7"/>
        <v>5.6022408963585435E-3</v>
      </c>
      <c r="H84" s="5">
        <f t="shared" si="8"/>
        <v>0.17366946778711484</v>
      </c>
      <c r="I84">
        <f t="shared" si="9"/>
        <v>31</v>
      </c>
    </row>
    <row r="85" spans="1:9" x14ac:dyDescent="0.45">
      <c r="A85">
        <v>23</v>
      </c>
      <c r="B85">
        <v>450</v>
      </c>
      <c r="C85">
        <v>1</v>
      </c>
      <c r="D85">
        <f t="shared" si="5"/>
        <v>450</v>
      </c>
      <c r="E85" t="str">
        <f t="shared" si="6"/>
        <v>20+</v>
      </c>
      <c r="F85" s="1">
        <f>INDEX('App-Click Conversion by Rank'!$K$12:$S$31,MATCH(E85,'App-Click Conversion by Rank'!$J$12:$J$31,0),MATCH(D85,'App-Click Conversion by Rank'!$K$11:$S$11,0))</f>
        <v>5.6022408963585435E-3</v>
      </c>
      <c r="G85" s="3">
        <f t="shared" si="7"/>
        <v>5.6022408963585435E-3</v>
      </c>
      <c r="H85" s="5">
        <f t="shared" si="8"/>
        <v>0.12885154061624651</v>
      </c>
      <c r="I85">
        <f t="shared" si="9"/>
        <v>23</v>
      </c>
    </row>
    <row r="86" spans="1:9" x14ac:dyDescent="0.45">
      <c r="A86">
        <v>31</v>
      </c>
      <c r="B86">
        <v>550</v>
      </c>
      <c r="C86">
        <v>1</v>
      </c>
      <c r="D86" t="str">
        <f t="shared" si="5"/>
        <v>501+</v>
      </c>
      <c r="E86" t="str">
        <f t="shared" si="6"/>
        <v>20+</v>
      </c>
      <c r="F86" s="1">
        <f>INDEX('App-Click Conversion by Rank'!$K$12:$S$31,MATCH(E86,'App-Click Conversion by Rank'!$J$12:$J$31,0),MATCH(D86,'App-Click Conversion by Rank'!$K$11:$S$11,0))</f>
        <v>5.9893958237873931E-3</v>
      </c>
      <c r="G86" s="3">
        <f t="shared" si="7"/>
        <v>5.9893958237873931E-3</v>
      </c>
      <c r="H86" s="5">
        <f t="shared" si="8"/>
        <v>0.1856712705374092</v>
      </c>
      <c r="I86">
        <f t="shared" si="9"/>
        <v>31</v>
      </c>
    </row>
    <row r="87" spans="1:9" x14ac:dyDescent="0.45">
      <c r="A87">
        <v>26</v>
      </c>
      <c r="B87">
        <v>500</v>
      </c>
      <c r="C87">
        <v>2</v>
      </c>
      <c r="D87">
        <f t="shared" si="5"/>
        <v>500</v>
      </c>
      <c r="E87" t="str">
        <f t="shared" si="6"/>
        <v>20+</v>
      </c>
      <c r="F87" s="1">
        <f>INDEX('App-Click Conversion by Rank'!$K$12:$S$31,MATCH(E87,'App-Click Conversion by Rank'!$J$12:$J$31,0),MATCH(D87,'App-Click Conversion by Rank'!$K$11:$S$11,0))</f>
        <v>5.1121544079290558E-3</v>
      </c>
      <c r="G87" s="3">
        <f t="shared" si="7"/>
        <v>1.0224308815858112E-2</v>
      </c>
      <c r="H87" s="5">
        <f t="shared" si="8"/>
        <v>0.26583202921231092</v>
      </c>
      <c r="I87">
        <f t="shared" si="9"/>
        <v>52</v>
      </c>
    </row>
    <row r="88" spans="1:9" x14ac:dyDescent="0.45">
      <c r="A88">
        <v>24</v>
      </c>
      <c r="B88">
        <v>650</v>
      </c>
      <c r="C88">
        <v>1</v>
      </c>
      <c r="D88" t="str">
        <f t="shared" si="5"/>
        <v>501+</v>
      </c>
      <c r="E88" t="str">
        <f t="shared" si="6"/>
        <v>20+</v>
      </c>
      <c r="F88" s="1">
        <f>INDEX('App-Click Conversion by Rank'!$K$12:$S$31,MATCH(E88,'App-Click Conversion by Rank'!$J$12:$J$31,0),MATCH(D88,'App-Click Conversion by Rank'!$K$11:$S$11,0))</f>
        <v>5.9893958237873931E-3</v>
      </c>
      <c r="G88" s="3">
        <f t="shared" si="7"/>
        <v>5.9893958237873931E-3</v>
      </c>
      <c r="H88" s="5">
        <f t="shared" si="8"/>
        <v>0.14374549977089743</v>
      </c>
      <c r="I88">
        <f t="shared" si="9"/>
        <v>24</v>
      </c>
    </row>
    <row r="89" spans="1:9" x14ac:dyDescent="0.45">
      <c r="A89">
        <v>16</v>
      </c>
      <c r="B89">
        <v>450</v>
      </c>
      <c r="C89">
        <v>27</v>
      </c>
      <c r="D89">
        <f t="shared" si="5"/>
        <v>450</v>
      </c>
      <c r="E89">
        <f t="shared" si="6"/>
        <v>16</v>
      </c>
      <c r="F89" s="1">
        <f>INDEX('App-Click Conversion by Rank'!$K$12:$S$31,MATCH(E89,'App-Click Conversion by Rank'!$J$12:$J$31,0),MATCH(D89,'App-Click Conversion by Rank'!$K$11:$S$11,0))</f>
        <v>3.4283265481037067E-3</v>
      </c>
      <c r="G89" s="3">
        <f t="shared" si="7"/>
        <v>9.2564816798800076E-2</v>
      </c>
      <c r="H89" s="5">
        <f t="shared" si="8"/>
        <v>1.4810370687808012</v>
      </c>
      <c r="I89">
        <f t="shared" si="9"/>
        <v>432</v>
      </c>
    </row>
    <row r="90" spans="1:9" x14ac:dyDescent="0.45">
      <c r="A90">
        <v>4</v>
      </c>
      <c r="B90">
        <v>500</v>
      </c>
      <c r="C90">
        <v>321</v>
      </c>
      <c r="D90">
        <f t="shared" si="5"/>
        <v>500</v>
      </c>
      <c r="E90">
        <f t="shared" si="6"/>
        <v>4</v>
      </c>
      <c r="F90" s="1">
        <f>INDEX('App-Click Conversion by Rank'!$K$12:$S$31,MATCH(E90,'App-Click Conversion by Rank'!$J$12:$J$31,0),MATCH(D90,'App-Click Conversion by Rank'!$K$11:$S$11,0))</f>
        <v>3.3269961977186312E-2</v>
      </c>
      <c r="G90" s="3">
        <f t="shared" si="7"/>
        <v>10.679657794676807</v>
      </c>
      <c r="H90" s="5">
        <f t="shared" si="8"/>
        <v>42.718631178707227</v>
      </c>
      <c r="I90">
        <f t="shared" si="9"/>
        <v>1284</v>
      </c>
    </row>
    <row r="91" spans="1:9" x14ac:dyDescent="0.45">
      <c r="A91">
        <v>11</v>
      </c>
      <c r="B91">
        <v>500</v>
      </c>
      <c r="C91">
        <v>707</v>
      </c>
      <c r="D91">
        <f t="shared" si="5"/>
        <v>500</v>
      </c>
      <c r="E91">
        <f t="shared" si="6"/>
        <v>11</v>
      </c>
      <c r="F91" s="1">
        <f>INDEX('App-Click Conversion by Rank'!$K$12:$S$31,MATCH(E91,'App-Click Conversion by Rank'!$J$12:$J$31,0),MATCH(D91,'App-Click Conversion by Rank'!$K$11:$S$11,0))</f>
        <v>7.8869923484402582E-3</v>
      </c>
      <c r="G91" s="3">
        <f t="shared" si="7"/>
        <v>5.5761035903472624</v>
      </c>
      <c r="H91" s="5">
        <f t="shared" si="8"/>
        <v>61.33713949381989</v>
      </c>
      <c r="I91">
        <f t="shared" si="9"/>
        <v>7777</v>
      </c>
    </row>
    <row r="92" spans="1:9" x14ac:dyDescent="0.45">
      <c r="A92">
        <v>13</v>
      </c>
      <c r="B92">
        <v>400</v>
      </c>
      <c r="C92">
        <v>92</v>
      </c>
      <c r="D92">
        <f t="shared" si="5"/>
        <v>400</v>
      </c>
      <c r="E92">
        <f t="shared" si="6"/>
        <v>13</v>
      </c>
      <c r="F92" s="1">
        <f>INDEX('App-Click Conversion by Rank'!$K$12:$S$31,MATCH(E92,'App-Click Conversion by Rank'!$J$12:$J$31,0),MATCH(D92,'App-Click Conversion by Rank'!$K$11:$S$11,0))</f>
        <v>4.8470160557406846E-3</v>
      </c>
      <c r="G92" s="3">
        <f t="shared" si="7"/>
        <v>0.44592547712814301</v>
      </c>
      <c r="H92" s="5">
        <f t="shared" si="8"/>
        <v>5.7970312026658588</v>
      </c>
      <c r="I92">
        <f t="shared" si="9"/>
        <v>1196</v>
      </c>
    </row>
    <row r="93" spans="1:9" x14ac:dyDescent="0.45">
      <c r="A93">
        <v>9</v>
      </c>
      <c r="B93">
        <v>500</v>
      </c>
      <c r="C93">
        <v>1064</v>
      </c>
      <c r="D93">
        <f t="shared" si="5"/>
        <v>500</v>
      </c>
      <c r="E93">
        <f t="shared" si="6"/>
        <v>9</v>
      </c>
      <c r="F93" s="1">
        <f>INDEX('App-Click Conversion by Rank'!$K$12:$S$31,MATCH(E93,'App-Click Conversion by Rank'!$J$12:$J$31,0),MATCH(D93,'App-Click Conversion by Rank'!$K$11:$S$11,0))</f>
        <v>6.8679821214433666E-3</v>
      </c>
      <c r="G93" s="3">
        <f t="shared" si="7"/>
        <v>7.3075329772157422</v>
      </c>
      <c r="H93" s="5">
        <f t="shared" si="8"/>
        <v>65.767796794941674</v>
      </c>
      <c r="I93">
        <f t="shared" si="9"/>
        <v>9576</v>
      </c>
    </row>
    <row r="94" spans="1:9" x14ac:dyDescent="0.45">
      <c r="A94">
        <v>11</v>
      </c>
      <c r="B94">
        <v>550</v>
      </c>
      <c r="C94">
        <v>447</v>
      </c>
      <c r="D94" t="str">
        <f t="shared" si="5"/>
        <v>501+</v>
      </c>
      <c r="E94">
        <f t="shared" si="6"/>
        <v>11</v>
      </c>
      <c r="F94" s="1">
        <f>INDEX('App-Click Conversion by Rank'!$K$12:$S$31,MATCH(E94,'App-Click Conversion by Rank'!$J$12:$J$31,0),MATCH(D94,'App-Click Conversion by Rank'!$K$11:$S$11,0))</f>
        <v>7.0175438596491229E-3</v>
      </c>
      <c r="G94" s="3">
        <f t="shared" si="7"/>
        <v>3.1368421052631579</v>
      </c>
      <c r="H94" s="5">
        <f t="shared" si="8"/>
        <v>34.505263157894738</v>
      </c>
      <c r="I94">
        <f t="shared" si="9"/>
        <v>4917</v>
      </c>
    </row>
    <row r="95" spans="1:9" x14ac:dyDescent="0.45">
      <c r="A95">
        <v>7</v>
      </c>
      <c r="B95">
        <v>500</v>
      </c>
      <c r="C95">
        <v>414</v>
      </c>
      <c r="D95">
        <f t="shared" si="5"/>
        <v>500</v>
      </c>
      <c r="E95">
        <f t="shared" si="6"/>
        <v>7</v>
      </c>
      <c r="F95" s="1">
        <f>INDEX('App-Click Conversion by Rank'!$K$12:$S$31,MATCH(E95,'App-Click Conversion by Rank'!$J$12:$J$31,0),MATCH(D95,'App-Click Conversion by Rank'!$K$11:$S$11,0))</f>
        <v>1.6261794820317206E-2</v>
      </c>
      <c r="G95" s="3">
        <f t="shared" si="7"/>
        <v>6.7323830556113231</v>
      </c>
      <c r="H95" s="5">
        <f t="shared" si="8"/>
        <v>47.126681389279263</v>
      </c>
      <c r="I95">
        <f t="shared" si="9"/>
        <v>2898</v>
      </c>
    </row>
    <row r="96" spans="1:9" x14ac:dyDescent="0.45">
      <c r="A96">
        <v>3</v>
      </c>
      <c r="B96">
        <v>200</v>
      </c>
      <c r="C96">
        <v>64</v>
      </c>
      <c r="D96">
        <f t="shared" si="5"/>
        <v>200</v>
      </c>
      <c r="E96">
        <f t="shared" si="6"/>
        <v>3</v>
      </c>
      <c r="F96" s="1">
        <f>INDEX('App-Click Conversion by Rank'!$K$12:$S$31,MATCH(E96,'App-Click Conversion by Rank'!$J$12:$J$31,0),MATCH(D96,'App-Click Conversion by Rank'!$K$11:$S$11,0))</f>
        <v>9.3181818181818185E-2</v>
      </c>
      <c r="G96" s="3">
        <f t="shared" si="7"/>
        <v>5.9636363636363638</v>
      </c>
      <c r="H96" s="5">
        <f t="shared" si="8"/>
        <v>17.890909090909091</v>
      </c>
      <c r="I96">
        <f t="shared" si="9"/>
        <v>192</v>
      </c>
    </row>
    <row r="97" spans="1:9" x14ac:dyDescent="0.45">
      <c r="A97">
        <v>6</v>
      </c>
      <c r="B97">
        <v>500</v>
      </c>
      <c r="C97">
        <v>513</v>
      </c>
      <c r="D97">
        <f t="shared" si="5"/>
        <v>500</v>
      </c>
      <c r="E97">
        <f t="shared" si="6"/>
        <v>6</v>
      </c>
      <c r="F97" s="1">
        <f>INDEX('App-Click Conversion by Rank'!$K$12:$S$31,MATCH(E97,'App-Click Conversion by Rank'!$J$12:$J$31,0),MATCH(D97,'App-Click Conversion by Rank'!$K$11:$S$11,0))</f>
        <v>2.218905472636816E-2</v>
      </c>
      <c r="G97" s="3">
        <f t="shared" si="7"/>
        <v>11.382985074626866</v>
      </c>
      <c r="H97" s="5">
        <f t="shared" si="8"/>
        <v>68.297910447761197</v>
      </c>
      <c r="I97">
        <f t="shared" si="9"/>
        <v>3078</v>
      </c>
    </row>
    <row r="98" spans="1:9" x14ac:dyDescent="0.45">
      <c r="A98">
        <v>7</v>
      </c>
      <c r="B98">
        <v>550</v>
      </c>
      <c r="C98">
        <v>219</v>
      </c>
      <c r="D98" t="str">
        <f t="shared" si="5"/>
        <v>501+</v>
      </c>
      <c r="E98">
        <f t="shared" si="6"/>
        <v>7</v>
      </c>
      <c r="F98" s="1">
        <f>INDEX('App-Click Conversion by Rank'!$K$12:$S$31,MATCH(E98,'App-Click Conversion by Rank'!$J$12:$J$31,0),MATCH(D98,'App-Click Conversion by Rank'!$K$11:$S$11,0))</f>
        <v>1.4011208967173739E-2</v>
      </c>
      <c r="G98" s="3">
        <f t="shared" si="7"/>
        <v>3.0684547638110491</v>
      </c>
      <c r="H98" s="5">
        <f t="shared" si="8"/>
        <v>21.479183346677345</v>
      </c>
      <c r="I98">
        <f t="shared" si="9"/>
        <v>1533</v>
      </c>
    </row>
    <row r="99" spans="1:9" x14ac:dyDescent="0.45">
      <c r="A99">
        <v>30</v>
      </c>
      <c r="B99">
        <v>450</v>
      </c>
      <c r="C99">
        <v>1</v>
      </c>
      <c r="D99">
        <f t="shared" si="5"/>
        <v>450</v>
      </c>
      <c r="E99" t="str">
        <f t="shared" si="6"/>
        <v>20+</v>
      </c>
      <c r="F99" s="1">
        <f>INDEX('App-Click Conversion by Rank'!$K$12:$S$31,MATCH(E99,'App-Click Conversion by Rank'!$J$12:$J$31,0),MATCH(D99,'App-Click Conversion by Rank'!$K$11:$S$11,0))</f>
        <v>5.6022408963585435E-3</v>
      </c>
      <c r="G99" s="3">
        <f t="shared" si="7"/>
        <v>5.6022408963585435E-3</v>
      </c>
      <c r="H99" s="5">
        <f t="shared" si="8"/>
        <v>0.16806722689075632</v>
      </c>
      <c r="I99">
        <f t="shared" si="9"/>
        <v>30</v>
      </c>
    </row>
    <row r="100" spans="1:9" x14ac:dyDescent="0.45">
      <c r="A100">
        <v>3</v>
      </c>
      <c r="B100">
        <v>250</v>
      </c>
      <c r="C100">
        <v>120</v>
      </c>
      <c r="D100">
        <f t="shared" si="5"/>
        <v>250</v>
      </c>
      <c r="E100">
        <f t="shared" si="6"/>
        <v>3</v>
      </c>
      <c r="F100" s="1">
        <f>INDEX('App-Click Conversion by Rank'!$K$12:$S$31,MATCH(E100,'App-Click Conversion by Rank'!$J$12:$J$31,0),MATCH(D100,'App-Click Conversion by Rank'!$K$11:$S$11,0))</f>
        <v>0.10116550116550116</v>
      </c>
      <c r="G100" s="3">
        <f t="shared" si="7"/>
        <v>12.13986013986014</v>
      </c>
      <c r="H100" s="5">
        <f t="shared" si="8"/>
        <v>36.41958041958042</v>
      </c>
      <c r="I100">
        <f t="shared" si="9"/>
        <v>360</v>
      </c>
    </row>
    <row r="101" spans="1:9" x14ac:dyDescent="0.45">
      <c r="A101">
        <v>8</v>
      </c>
      <c r="B101">
        <v>650</v>
      </c>
      <c r="C101">
        <v>5</v>
      </c>
      <c r="D101" t="str">
        <f t="shared" si="5"/>
        <v>501+</v>
      </c>
      <c r="E101">
        <f t="shared" si="6"/>
        <v>8</v>
      </c>
      <c r="F101" s="1">
        <f>INDEX('App-Click Conversion by Rank'!$K$12:$S$31,MATCH(E101,'App-Click Conversion by Rank'!$J$12:$J$31,0),MATCH(D101,'App-Click Conversion by Rank'!$K$11:$S$11,0))</f>
        <v>1.0399562123700055E-2</v>
      </c>
      <c r="G101" s="3">
        <f t="shared" si="7"/>
        <v>5.199781061850027E-2</v>
      </c>
      <c r="H101" s="5">
        <f t="shared" si="8"/>
        <v>0.41598248494800216</v>
      </c>
      <c r="I101">
        <f t="shared" si="9"/>
        <v>40</v>
      </c>
    </row>
    <row r="102" spans="1:9" x14ac:dyDescent="0.45">
      <c r="A102">
        <v>8</v>
      </c>
      <c r="B102">
        <v>150</v>
      </c>
      <c r="C102">
        <v>3</v>
      </c>
      <c r="D102" t="str">
        <f t="shared" si="5"/>
        <v>&lt;=150</v>
      </c>
      <c r="E102">
        <f t="shared" si="6"/>
        <v>8</v>
      </c>
      <c r="F102" s="1">
        <f>INDEX('App-Click Conversion by Rank'!$K$12:$S$31,MATCH(E102,'App-Click Conversion by Rank'!$J$12:$J$31,0),MATCH(D102,'App-Click Conversion by Rank'!$K$11:$S$11,0))</f>
        <v>0</v>
      </c>
      <c r="G102" s="3">
        <f t="shared" si="7"/>
        <v>0</v>
      </c>
      <c r="H102" s="5">
        <f t="shared" si="8"/>
        <v>0</v>
      </c>
      <c r="I102">
        <f t="shared" si="9"/>
        <v>24</v>
      </c>
    </row>
    <row r="103" spans="1:9" x14ac:dyDescent="0.45">
      <c r="A103">
        <v>28</v>
      </c>
      <c r="B103">
        <v>450</v>
      </c>
      <c r="C103">
        <v>2</v>
      </c>
      <c r="D103">
        <f t="shared" si="5"/>
        <v>450</v>
      </c>
      <c r="E103" t="str">
        <f t="shared" si="6"/>
        <v>20+</v>
      </c>
      <c r="F103" s="1">
        <f>INDEX('App-Click Conversion by Rank'!$K$12:$S$31,MATCH(E103,'App-Click Conversion by Rank'!$J$12:$J$31,0),MATCH(D103,'App-Click Conversion by Rank'!$K$11:$S$11,0))</f>
        <v>5.6022408963585435E-3</v>
      </c>
      <c r="G103" s="3">
        <f t="shared" si="7"/>
        <v>1.1204481792717087E-2</v>
      </c>
      <c r="H103" s="5">
        <f t="shared" si="8"/>
        <v>0.31372549019607843</v>
      </c>
      <c r="I103">
        <f t="shared" si="9"/>
        <v>56</v>
      </c>
    </row>
    <row r="104" spans="1:9" x14ac:dyDescent="0.45">
      <c r="A104">
        <v>8</v>
      </c>
      <c r="B104">
        <v>600</v>
      </c>
      <c r="C104">
        <v>26</v>
      </c>
      <c r="D104" t="str">
        <f t="shared" si="5"/>
        <v>501+</v>
      </c>
      <c r="E104">
        <f t="shared" si="6"/>
        <v>8</v>
      </c>
      <c r="F104" s="1">
        <f>INDEX('App-Click Conversion by Rank'!$K$12:$S$31,MATCH(E104,'App-Click Conversion by Rank'!$J$12:$J$31,0),MATCH(D104,'App-Click Conversion by Rank'!$K$11:$S$11,0))</f>
        <v>1.0399562123700055E-2</v>
      </c>
      <c r="G104" s="3">
        <f t="shared" si="7"/>
        <v>0.27038861521620144</v>
      </c>
      <c r="H104" s="5">
        <f t="shared" si="8"/>
        <v>2.1631089217296116</v>
      </c>
      <c r="I104">
        <f t="shared" si="9"/>
        <v>208</v>
      </c>
    </row>
    <row r="105" spans="1:9" x14ac:dyDescent="0.45">
      <c r="A105">
        <v>15</v>
      </c>
      <c r="B105">
        <v>350</v>
      </c>
      <c r="C105">
        <v>1</v>
      </c>
      <c r="D105">
        <f t="shared" si="5"/>
        <v>350</v>
      </c>
      <c r="E105">
        <f t="shared" si="6"/>
        <v>15</v>
      </c>
      <c r="F105" s="1">
        <f>INDEX('App-Click Conversion by Rank'!$K$12:$S$31,MATCH(E105,'App-Click Conversion by Rank'!$J$12:$J$31,0),MATCH(D105,'App-Click Conversion by Rank'!$K$11:$S$11,0))</f>
        <v>4.048582995951417E-3</v>
      </c>
      <c r="G105" s="3">
        <f t="shared" si="7"/>
        <v>4.048582995951417E-3</v>
      </c>
      <c r="H105" s="5">
        <f t="shared" si="8"/>
        <v>6.0728744939271259E-2</v>
      </c>
      <c r="I105">
        <f t="shared" si="9"/>
        <v>15</v>
      </c>
    </row>
    <row r="106" spans="1:9" x14ac:dyDescent="0.45">
      <c r="A106">
        <v>10</v>
      </c>
      <c r="B106">
        <v>250</v>
      </c>
      <c r="C106">
        <v>2</v>
      </c>
      <c r="D106">
        <f t="shared" si="5"/>
        <v>250</v>
      </c>
      <c r="E106">
        <f t="shared" si="6"/>
        <v>10</v>
      </c>
      <c r="F106" s="1">
        <f>INDEX('App-Click Conversion by Rank'!$K$12:$S$31,MATCH(E106,'App-Click Conversion by Rank'!$J$12:$J$31,0),MATCH(D106,'App-Click Conversion by Rank'!$K$11:$S$11,0))</f>
        <v>2.768166089965398E-2</v>
      </c>
      <c r="G106" s="3">
        <f t="shared" si="7"/>
        <v>5.536332179930796E-2</v>
      </c>
      <c r="H106" s="5">
        <f t="shared" si="8"/>
        <v>0.55363321799307963</v>
      </c>
      <c r="I106">
        <f t="shared" si="9"/>
        <v>20</v>
      </c>
    </row>
    <row r="107" spans="1:9" x14ac:dyDescent="0.45">
      <c r="A107">
        <v>1</v>
      </c>
      <c r="B107">
        <v>300</v>
      </c>
      <c r="C107">
        <v>4</v>
      </c>
      <c r="D107">
        <f t="shared" si="5"/>
        <v>300</v>
      </c>
      <c r="E107">
        <f t="shared" si="6"/>
        <v>1</v>
      </c>
      <c r="F107" s="1">
        <f>INDEX('App-Click Conversion by Rank'!$K$12:$S$31,MATCH(E107,'App-Click Conversion by Rank'!$J$12:$J$31,0),MATCH(D107,'App-Click Conversion by Rank'!$K$11:$S$11,0))</f>
        <v>0.27164439279488667</v>
      </c>
      <c r="G107" s="3">
        <f t="shared" si="7"/>
        <v>1.0865775711795467</v>
      </c>
      <c r="H107" s="5">
        <f t="shared" si="8"/>
        <v>1.0865775711795467</v>
      </c>
      <c r="I107">
        <f t="shared" si="9"/>
        <v>4</v>
      </c>
    </row>
    <row r="108" spans="1:9" x14ac:dyDescent="0.45">
      <c r="A108">
        <v>28</v>
      </c>
      <c r="B108">
        <v>500</v>
      </c>
      <c r="C108">
        <v>1</v>
      </c>
      <c r="D108">
        <f t="shared" si="5"/>
        <v>500</v>
      </c>
      <c r="E108" t="str">
        <f t="shared" si="6"/>
        <v>20+</v>
      </c>
      <c r="F108" s="1">
        <f>INDEX('App-Click Conversion by Rank'!$K$12:$S$31,MATCH(E108,'App-Click Conversion by Rank'!$J$12:$J$31,0),MATCH(D108,'App-Click Conversion by Rank'!$K$11:$S$11,0))</f>
        <v>5.1121544079290558E-3</v>
      </c>
      <c r="G108" s="3">
        <f t="shared" si="7"/>
        <v>5.1121544079290558E-3</v>
      </c>
      <c r="H108" s="5">
        <f t="shared" si="8"/>
        <v>0.14314032342201355</v>
      </c>
      <c r="I108">
        <f t="shared" si="9"/>
        <v>28</v>
      </c>
    </row>
    <row r="109" spans="1:9" x14ac:dyDescent="0.45">
      <c r="A109">
        <v>25</v>
      </c>
      <c r="B109">
        <v>600</v>
      </c>
      <c r="C109">
        <v>1</v>
      </c>
      <c r="D109" t="str">
        <f t="shared" si="5"/>
        <v>501+</v>
      </c>
      <c r="E109" t="str">
        <f t="shared" si="6"/>
        <v>20+</v>
      </c>
      <c r="F109" s="1">
        <f>INDEX('App-Click Conversion by Rank'!$K$12:$S$31,MATCH(E109,'App-Click Conversion by Rank'!$J$12:$J$31,0),MATCH(D109,'App-Click Conversion by Rank'!$K$11:$S$11,0))</f>
        <v>5.9893958237873931E-3</v>
      </c>
      <c r="G109" s="3">
        <f t="shared" si="7"/>
        <v>5.9893958237873931E-3</v>
      </c>
      <c r="H109" s="5">
        <f t="shared" si="8"/>
        <v>0.14973489559468484</v>
      </c>
      <c r="I109">
        <f t="shared" si="9"/>
        <v>25</v>
      </c>
    </row>
    <row r="110" spans="1:9" x14ac:dyDescent="0.45">
      <c r="A110">
        <v>8</v>
      </c>
      <c r="B110">
        <v>400</v>
      </c>
      <c r="C110">
        <v>242</v>
      </c>
      <c r="D110">
        <f t="shared" si="5"/>
        <v>400</v>
      </c>
      <c r="E110">
        <f t="shared" si="6"/>
        <v>8</v>
      </c>
      <c r="F110" s="1">
        <f>INDEX('App-Click Conversion by Rank'!$K$12:$S$31,MATCH(E110,'App-Click Conversion by Rank'!$J$12:$J$31,0),MATCH(D110,'App-Click Conversion by Rank'!$K$11:$S$11,0))</f>
        <v>1.1600471883602045E-2</v>
      </c>
      <c r="G110" s="3">
        <f t="shared" si="7"/>
        <v>2.8073141958316947</v>
      </c>
      <c r="H110" s="5">
        <f t="shared" si="8"/>
        <v>22.458513566653558</v>
      </c>
      <c r="I110">
        <f t="shared" si="9"/>
        <v>1936</v>
      </c>
    </row>
    <row r="111" spans="1:9" x14ac:dyDescent="0.45">
      <c r="A111">
        <v>3</v>
      </c>
      <c r="B111">
        <v>500</v>
      </c>
      <c r="C111">
        <v>619</v>
      </c>
      <c r="D111">
        <f t="shared" si="5"/>
        <v>500</v>
      </c>
      <c r="E111">
        <f t="shared" si="6"/>
        <v>3</v>
      </c>
      <c r="F111" s="1">
        <f>INDEX('App-Click Conversion by Rank'!$K$12:$S$31,MATCH(E111,'App-Click Conversion by Rank'!$J$12:$J$31,0),MATCH(D111,'App-Click Conversion by Rank'!$K$11:$S$11,0))</f>
        <v>4.693648116919618E-2</v>
      </c>
      <c r="G111" s="3">
        <f t="shared" si="7"/>
        <v>29.053681843732434</v>
      </c>
      <c r="H111" s="5">
        <f t="shared" si="8"/>
        <v>87.161045531197303</v>
      </c>
      <c r="I111">
        <f t="shared" si="9"/>
        <v>1857</v>
      </c>
    </row>
    <row r="112" spans="1:9" x14ac:dyDescent="0.45">
      <c r="A112">
        <v>2</v>
      </c>
      <c r="B112">
        <v>550</v>
      </c>
      <c r="C112">
        <v>70</v>
      </c>
      <c r="D112" t="str">
        <f t="shared" si="5"/>
        <v>501+</v>
      </c>
      <c r="E112">
        <f t="shared" si="6"/>
        <v>2</v>
      </c>
      <c r="F112" s="1">
        <f>INDEX('App-Click Conversion by Rank'!$K$12:$S$31,MATCH(E112,'App-Click Conversion by Rank'!$J$12:$J$31,0),MATCH(D112,'App-Click Conversion by Rank'!$K$11:$S$11,0))</f>
        <v>7.5343344885123856E-2</v>
      </c>
      <c r="G112" s="3">
        <f t="shared" si="7"/>
        <v>5.27403414195867</v>
      </c>
      <c r="H112" s="5">
        <f t="shared" si="8"/>
        <v>10.54806828391734</v>
      </c>
      <c r="I112">
        <f t="shared" si="9"/>
        <v>140</v>
      </c>
    </row>
    <row r="113" spans="1:9" x14ac:dyDescent="0.45">
      <c r="A113">
        <v>13</v>
      </c>
      <c r="B113">
        <v>300</v>
      </c>
      <c r="C113">
        <v>2</v>
      </c>
      <c r="D113">
        <f t="shared" si="5"/>
        <v>300</v>
      </c>
      <c r="E113">
        <f t="shared" si="6"/>
        <v>13</v>
      </c>
      <c r="F113" s="1">
        <f>INDEX('App-Click Conversion by Rank'!$K$12:$S$31,MATCH(E113,'App-Click Conversion by Rank'!$J$12:$J$31,0),MATCH(D113,'App-Click Conversion by Rank'!$K$11:$S$11,0))</f>
        <v>1.0607521697203472E-2</v>
      </c>
      <c r="G113" s="3">
        <f t="shared" si="7"/>
        <v>2.1215043394406944E-2</v>
      </c>
      <c r="H113" s="5">
        <f t="shared" si="8"/>
        <v>0.27579556412729028</v>
      </c>
      <c r="I113">
        <f t="shared" si="9"/>
        <v>26</v>
      </c>
    </row>
    <row r="114" spans="1:9" x14ac:dyDescent="0.45">
      <c r="A114">
        <v>21</v>
      </c>
      <c r="B114">
        <v>550</v>
      </c>
      <c r="C114">
        <v>2</v>
      </c>
      <c r="D114" t="str">
        <f t="shared" si="5"/>
        <v>501+</v>
      </c>
      <c r="E114" t="str">
        <f t="shared" si="6"/>
        <v>20+</v>
      </c>
      <c r="F114" s="1">
        <f>INDEX('App-Click Conversion by Rank'!$K$12:$S$31,MATCH(E114,'App-Click Conversion by Rank'!$J$12:$J$31,0),MATCH(D114,'App-Click Conversion by Rank'!$K$11:$S$11,0))</f>
        <v>5.9893958237873931E-3</v>
      </c>
      <c r="G114" s="3">
        <f t="shared" si="7"/>
        <v>1.1978791647574786E-2</v>
      </c>
      <c r="H114" s="5">
        <f t="shared" si="8"/>
        <v>0.25155462459907052</v>
      </c>
      <c r="I114">
        <f t="shared" si="9"/>
        <v>42</v>
      </c>
    </row>
    <row r="115" spans="1:9" x14ac:dyDescent="0.45">
      <c r="A115">
        <v>6</v>
      </c>
      <c r="B115">
        <v>550</v>
      </c>
      <c r="C115">
        <v>190</v>
      </c>
      <c r="D115" t="str">
        <f t="shared" si="5"/>
        <v>501+</v>
      </c>
      <c r="E115">
        <f t="shared" si="6"/>
        <v>6</v>
      </c>
      <c r="F115" s="1">
        <f>INDEX('App-Click Conversion by Rank'!$K$12:$S$31,MATCH(E115,'App-Click Conversion by Rank'!$J$12:$J$31,0),MATCH(D115,'App-Click Conversion by Rank'!$K$11:$S$11,0))</f>
        <v>2.4383744170552963E-2</v>
      </c>
      <c r="G115" s="3">
        <f t="shared" si="7"/>
        <v>4.6329113924050631</v>
      </c>
      <c r="H115" s="5">
        <f t="shared" si="8"/>
        <v>27.797468354430379</v>
      </c>
      <c r="I115">
        <f t="shared" si="9"/>
        <v>1140</v>
      </c>
    </row>
    <row r="116" spans="1:9" x14ac:dyDescent="0.45">
      <c r="A116">
        <v>9</v>
      </c>
      <c r="B116">
        <v>600</v>
      </c>
      <c r="C116">
        <v>33</v>
      </c>
      <c r="D116" t="str">
        <f t="shared" si="5"/>
        <v>501+</v>
      </c>
      <c r="E116">
        <f t="shared" si="6"/>
        <v>9</v>
      </c>
      <c r="F116" s="1">
        <f>INDEX('App-Click Conversion by Rank'!$K$12:$S$31,MATCH(E116,'App-Click Conversion by Rank'!$J$12:$J$31,0),MATCH(D116,'App-Click Conversion by Rank'!$K$11:$S$11,0))</f>
        <v>6.6039061402276243E-3</v>
      </c>
      <c r="G116" s="3">
        <f t="shared" si="7"/>
        <v>0.21792890262751161</v>
      </c>
      <c r="H116" s="5">
        <f t="shared" si="8"/>
        <v>1.9613601236476044</v>
      </c>
      <c r="I116">
        <f t="shared" si="9"/>
        <v>297</v>
      </c>
    </row>
    <row r="117" spans="1:9" x14ac:dyDescent="0.45">
      <c r="A117">
        <v>4</v>
      </c>
      <c r="B117">
        <v>600</v>
      </c>
      <c r="C117">
        <v>18</v>
      </c>
      <c r="D117" t="str">
        <f t="shared" si="5"/>
        <v>501+</v>
      </c>
      <c r="E117">
        <f t="shared" si="6"/>
        <v>4</v>
      </c>
      <c r="F117" s="1">
        <f>INDEX('App-Click Conversion by Rank'!$K$12:$S$31,MATCH(E117,'App-Click Conversion by Rank'!$J$12:$J$31,0),MATCH(D117,'App-Click Conversion by Rank'!$K$11:$S$11,0))</f>
        <v>3.6664084688871675E-2</v>
      </c>
      <c r="G117" s="3">
        <f t="shared" si="7"/>
        <v>0.65995352439969013</v>
      </c>
      <c r="H117" s="5">
        <f t="shared" si="8"/>
        <v>2.6398140975987605</v>
      </c>
      <c r="I117">
        <f t="shared" si="9"/>
        <v>72</v>
      </c>
    </row>
    <row r="118" spans="1:9" x14ac:dyDescent="0.45">
      <c r="A118">
        <v>5</v>
      </c>
      <c r="B118">
        <v>600</v>
      </c>
      <c r="C118">
        <v>9</v>
      </c>
      <c r="D118" t="str">
        <f t="shared" si="5"/>
        <v>501+</v>
      </c>
      <c r="E118">
        <f t="shared" si="6"/>
        <v>5</v>
      </c>
      <c r="F118" s="1">
        <f>INDEX('App-Click Conversion by Rank'!$K$12:$S$31,MATCH(E118,'App-Click Conversion by Rank'!$J$12:$J$31,0),MATCH(D118,'App-Click Conversion by Rank'!$K$11:$S$11,0))</f>
        <v>2.0504113882721692E-2</v>
      </c>
      <c r="G118" s="3">
        <f t="shared" si="7"/>
        <v>0.18453702494449523</v>
      </c>
      <c r="H118" s="5">
        <f t="shared" si="8"/>
        <v>0.9226851247224761</v>
      </c>
      <c r="I118">
        <f t="shared" si="9"/>
        <v>45</v>
      </c>
    </row>
    <row r="119" spans="1:9" x14ac:dyDescent="0.45">
      <c r="A119">
        <v>4</v>
      </c>
      <c r="B119">
        <v>650</v>
      </c>
      <c r="C119">
        <v>3</v>
      </c>
      <c r="D119" t="str">
        <f t="shared" si="5"/>
        <v>501+</v>
      </c>
      <c r="E119">
        <f t="shared" si="6"/>
        <v>4</v>
      </c>
      <c r="F119" s="1">
        <f>INDEX('App-Click Conversion by Rank'!$K$12:$S$31,MATCH(E119,'App-Click Conversion by Rank'!$J$12:$J$31,0),MATCH(D119,'App-Click Conversion by Rank'!$K$11:$S$11,0))</f>
        <v>3.6664084688871675E-2</v>
      </c>
      <c r="G119" s="3">
        <f t="shared" si="7"/>
        <v>0.10999225406661503</v>
      </c>
      <c r="H119" s="5">
        <f t="shared" si="8"/>
        <v>0.43996901626646012</v>
      </c>
      <c r="I119">
        <f t="shared" si="9"/>
        <v>12</v>
      </c>
    </row>
    <row r="120" spans="1:9" x14ac:dyDescent="0.45">
      <c r="A120">
        <v>7</v>
      </c>
      <c r="B120">
        <v>600</v>
      </c>
      <c r="C120">
        <v>11</v>
      </c>
      <c r="D120" t="str">
        <f t="shared" si="5"/>
        <v>501+</v>
      </c>
      <c r="E120">
        <f t="shared" si="6"/>
        <v>7</v>
      </c>
      <c r="F120" s="1">
        <f>INDEX('App-Click Conversion by Rank'!$K$12:$S$31,MATCH(E120,'App-Click Conversion by Rank'!$J$12:$J$31,0),MATCH(D120,'App-Click Conversion by Rank'!$K$11:$S$11,0))</f>
        <v>1.4011208967173739E-2</v>
      </c>
      <c r="G120" s="3">
        <f t="shared" si="7"/>
        <v>0.15412329863891114</v>
      </c>
      <c r="H120" s="5">
        <f t="shared" si="8"/>
        <v>1.0788630904723779</v>
      </c>
      <c r="I120">
        <f t="shared" si="9"/>
        <v>77</v>
      </c>
    </row>
    <row r="121" spans="1:9" x14ac:dyDescent="0.45">
      <c r="A121">
        <v>12</v>
      </c>
      <c r="B121">
        <v>250</v>
      </c>
      <c r="C121">
        <v>4</v>
      </c>
      <c r="D121">
        <f t="shared" si="5"/>
        <v>250</v>
      </c>
      <c r="E121">
        <f t="shared" si="6"/>
        <v>12</v>
      </c>
      <c r="F121" s="1">
        <f>INDEX('App-Click Conversion by Rank'!$K$12:$S$31,MATCH(E121,'App-Click Conversion by Rank'!$J$12:$J$31,0),MATCH(D121,'App-Click Conversion by Rank'!$K$11:$S$11,0))</f>
        <v>1.3333333333333334E-2</v>
      </c>
      <c r="G121" s="3">
        <f t="shared" si="7"/>
        <v>5.3333333333333337E-2</v>
      </c>
      <c r="H121" s="5">
        <f t="shared" si="8"/>
        <v>0.64</v>
      </c>
      <c r="I121">
        <f t="shared" si="9"/>
        <v>48</v>
      </c>
    </row>
    <row r="122" spans="1:9" x14ac:dyDescent="0.45">
      <c r="A122">
        <v>27</v>
      </c>
      <c r="B122">
        <v>500</v>
      </c>
      <c r="C122">
        <v>4</v>
      </c>
      <c r="D122">
        <f t="shared" si="5"/>
        <v>500</v>
      </c>
      <c r="E122" t="str">
        <f t="shared" si="6"/>
        <v>20+</v>
      </c>
      <c r="F122" s="1">
        <f>INDEX('App-Click Conversion by Rank'!$K$12:$S$31,MATCH(E122,'App-Click Conversion by Rank'!$J$12:$J$31,0),MATCH(D122,'App-Click Conversion by Rank'!$K$11:$S$11,0))</f>
        <v>5.1121544079290558E-3</v>
      </c>
      <c r="G122" s="3">
        <f t="shared" si="7"/>
        <v>2.0448617631716223E-2</v>
      </c>
      <c r="H122" s="5">
        <f t="shared" si="8"/>
        <v>0.55211267605633807</v>
      </c>
      <c r="I122">
        <f t="shared" si="9"/>
        <v>108</v>
      </c>
    </row>
    <row r="123" spans="1:9" x14ac:dyDescent="0.45">
      <c r="A123">
        <v>7</v>
      </c>
      <c r="B123">
        <v>650</v>
      </c>
      <c r="C123">
        <v>3</v>
      </c>
      <c r="D123" t="str">
        <f t="shared" si="5"/>
        <v>501+</v>
      </c>
      <c r="E123">
        <f t="shared" si="6"/>
        <v>7</v>
      </c>
      <c r="F123" s="1">
        <f>INDEX('App-Click Conversion by Rank'!$K$12:$S$31,MATCH(E123,'App-Click Conversion by Rank'!$J$12:$J$31,0),MATCH(D123,'App-Click Conversion by Rank'!$K$11:$S$11,0))</f>
        <v>1.4011208967173739E-2</v>
      </c>
      <c r="G123" s="3">
        <f t="shared" si="7"/>
        <v>4.2033626901521216E-2</v>
      </c>
      <c r="H123" s="5">
        <f t="shared" si="8"/>
        <v>0.29423538831064849</v>
      </c>
      <c r="I123">
        <f t="shared" si="9"/>
        <v>21</v>
      </c>
    </row>
    <row r="124" spans="1:9" x14ac:dyDescent="0.45">
      <c r="A124">
        <v>12</v>
      </c>
      <c r="B124">
        <v>700</v>
      </c>
      <c r="C124">
        <v>1</v>
      </c>
      <c r="D124" t="str">
        <f t="shared" si="5"/>
        <v>501+</v>
      </c>
      <c r="E124">
        <f t="shared" si="6"/>
        <v>12</v>
      </c>
      <c r="F124" s="1">
        <f>INDEX('App-Click Conversion by Rank'!$K$12:$S$31,MATCH(E124,'App-Click Conversion by Rank'!$J$12:$J$31,0),MATCH(D124,'App-Click Conversion by Rank'!$K$11:$S$11,0))</f>
        <v>4.3071439180157435E-3</v>
      </c>
      <c r="G124" s="3">
        <f t="shared" si="7"/>
        <v>4.3071439180157435E-3</v>
      </c>
      <c r="H124" s="5">
        <f t="shared" si="8"/>
        <v>5.1685727016188926E-2</v>
      </c>
      <c r="I124">
        <f t="shared" si="9"/>
        <v>12</v>
      </c>
    </row>
    <row r="125" spans="1:9" x14ac:dyDescent="0.45">
      <c r="A125">
        <v>33</v>
      </c>
      <c r="B125">
        <v>600</v>
      </c>
      <c r="C125">
        <v>1</v>
      </c>
      <c r="D125" t="str">
        <f t="shared" si="5"/>
        <v>501+</v>
      </c>
      <c r="E125" t="str">
        <f t="shared" si="6"/>
        <v>20+</v>
      </c>
      <c r="F125" s="1">
        <f>INDEX('App-Click Conversion by Rank'!$K$12:$S$31,MATCH(E125,'App-Click Conversion by Rank'!$J$12:$J$31,0),MATCH(D125,'App-Click Conversion by Rank'!$K$11:$S$11,0))</f>
        <v>5.9893958237873931E-3</v>
      </c>
      <c r="G125" s="3">
        <f t="shared" si="7"/>
        <v>5.9893958237873931E-3</v>
      </c>
      <c r="H125" s="5">
        <f t="shared" si="8"/>
        <v>0.19765006218498396</v>
      </c>
      <c r="I125">
        <f t="shared" si="9"/>
        <v>33</v>
      </c>
    </row>
    <row r="126" spans="1:9" x14ac:dyDescent="0.45">
      <c r="A126">
        <v>5</v>
      </c>
      <c r="B126">
        <v>300</v>
      </c>
      <c r="C126">
        <v>190</v>
      </c>
      <c r="D126">
        <f t="shared" si="5"/>
        <v>300</v>
      </c>
      <c r="E126">
        <f t="shared" si="6"/>
        <v>5</v>
      </c>
      <c r="F126" s="1">
        <f>INDEX('App-Click Conversion by Rank'!$K$12:$S$31,MATCH(E126,'App-Click Conversion by Rank'!$J$12:$J$31,0),MATCH(D126,'App-Click Conversion by Rank'!$K$11:$S$11,0))</f>
        <v>4.7058823529411764E-2</v>
      </c>
      <c r="G126" s="3">
        <f t="shared" si="7"/>
        <v>8.9411764705882355</v>
      </c>
      <c r="H126" s="5">
        <f t="shared" si="8"/>
        <v>44.705882352941174</v>
      </c>
      <c r="I126">
        <f t="shared" si="9"/>
        <v>950</v>
      </c>
    </row>
    <row r="127" spans="1:9" x14ac:dyDescent="0.45">
      <c r="A127">
        <v>16</v>
      </c>
      <c r="B127">
        <v>550</v>
      </c>
      <c r="C127">
        <v>33</v>
      </c>
      <c r="D127" t="str">
        <f t="shared" si="5"/>
        <v>501+</v>
      </c>
      <c r="E127">
        <f t="shared" si="6"/>
        <v>16</v>
      </c>
      <c r="F127" s="1">
        <f>INDEX('App-Click Conversion by Rank'!$K$12:$S$31,MATCH(E127,'App-Click Conversion by Rank'!$J$12:$J$31,0),MATCH(D127,'App-Click Conversion by Rank'!$K$11:$S$11,0))</f>
        <v>3.5842293906810036E-3</v>
      </c>
      <c r="G127" s="3">
        <f t="shared" si="7"/>
        <v>0.11827956989247312</v>
      </c>
      <c r="H127" s="5">
        <f t="shared" si="8"/>
        <v>1.89247311827957</v>
      </c>
      <c r="I127">
        <f t="shared" si="9"/>
        <v>528</v>
      </c>
    </row>
    <row r="128" spans="1:9" x14ac:dyDescent="0.45">
      <c r="A128">
        <v>2</v>
      </c>
      <c r="B128">
        <v>450</v>
      </c>
      <c r="C128">
        <v>222</v>
      </c>
      <c r="D128">
        <f t="shared" si="5"/>
        <v>450</v>
      </c>
      <c r="E128">
        <f t="shared" si="6"/>
        <v>2</v>
      </c>
      <c r="F128" s="1">
        <f>INDEX('App-Click Conversion by Rank'!$K$12:$S$31,MATCH(E128,'App-Click Conversion by Rank'!$J$12:$J$31,0),MATCH(D128,'App-Click Conversion by Rank'!$K$11:$S$11,0))</f>
        <v>7.482403898213319E-2</v>
      </c>
      <c r="G128" s="3">
        <f t="shared" si="7"/>
        <v>16.610936654033569</v>
      </c>
      <c r="H128" s="5">
        <f t="shared" si="8"/>
        <v>33.221873308067138</v>
      </c>
      <c r="I128">
        <f t="shared" si="9"/>
        <v>444</v>
      </c>
    </row>
    <row r="129" spans="1:9" x14ac:dyDescent="0.45">
      <c r="A129">
        <v>6</v>
      </c>
      <c r="B129">
        <v>450</v>
      </c>
      <c r="C129">
        <v>577</v>
      </c>
      <c r="D129">
        <f t="shared" si="5"/>
        <v>450</v>
      </c>
      <c r="E129">
        <f t="shared" si="6"/>
        <v>6</v>
      </c>
      <c r="F129" s="1">
        <f>INDEX('App-Click Conversion by Rank'!$K$12:$S$31,MATCH(E129,'App-Click Conversion by Rank'!$J$12:$J$31,0),MATCH(D129,'App-Click Conversion by Rank'!$K$11:$S$11,0))</f>
        <v>2.4506126531632907E-2</v>
      </c>
      <c r="G129" s="3">
        <f t="shared" si="7"/>
        <v>14.140035008752188</v>
      </c>
      <c r="H129" s="5">
        <f t="shared" si="8"/>
        <v>84.840210052513129</v>
      </c>
      <c r="I129">
        <f t="shared" si="9"/>
        <v>3462</v>
      </c>
    </row>
    <row r="130" spans="1:9" x14ac:dyDescent="0.45">
      <c r="A130">
        <v>17</v>
      </c>
      <c r="B130">
        <v>500</v>
      </c>
      <c r="C130">
        <v>110</v>
      </c>
      <c r="D130">
        <f t="shared" si="5"/>
        <v>500</v>
      </c>
      <c r="E130">
        <f t="shared" si="6"/>
        <v>17</v>
      </c>
      <c r="F130" s="1">
        <f>INDEX('App-Click Conversion by Rank'!$K$12:$S$31,MATCH(E130,'App-Click Conversion by Rank'!$J$12:$J$31,0),MATCH(D130,'App-Click Conversion by Rank'!$K$11:$S$11,0))</f>
        <v>3.625290023201856E-3</v>
      </c>
      <c r="G130" s="3">
        <f t="shared" si="7"/>
        <v>0.39878190255220414</v>
      </c>
      <c r="H130" s="5">
        <f t="shared" si="8"/>
        <v>6.7792923433874703</v>
      </c>
      <c r="I130">
        <f t="shared" si="9"/>
        <v>1870</v>
      </c>
    </row>
    <row r="131" spans="1:9" x14ac:dyDescent="0.45">
      <c r="A131">
        <v>6</v>
      </c>
      <c r="B131">
        <v>350</v>
      </c>
      <c r="C131">
        <v>220</v>
      </c>
      <c r="D131">
        <f t="shared" ref="D131:D194" si="10">IF(B131&lt;=150,"&lt;=150",IF(B131&gt;500,"501+",B131))</f>
        <v>350</v>
      </c>
      <c r="E131">
        <f t="shared" ref="E131:E194" si="11">IF(A131&gt;=20,"20+",A131)</f>
        <v>6</v>
      </c>
      <c r="F131" s="1">
        <f>INDEX('App-Click Conversion by Rank'!$K$12:$S$31,MATCH(E131,'App-Click Conversion by Rank'!$J$12:$J$31,0),MATCH(D131,'App-Click Conversion by Rank'!$K$11:$S$11,0))</f>
        <v>2.8679245283018868E-2</v>
      </c>
      <c r="G131" s="3">
        <f t="shared" ref="G131:G194" si="12">C131*F131</f>
        <v>6.3094339622641513</v>
      </c>
      <c r="H131" s="5">
        <f t="shared" ref="H131:H194" si="13">G131*A131</f>
        <v>37.856603773584908</v>
      </c>
      <c r="I131">
        <f t="shared" ref="I131:I194" si="14">C131*A131</f>
        <v>1320</v>
      </c>
    </row>
    <row r="132" spans="1:9" x14ac:dyDescent="0.45">
      <c r="A132">
        <v>4</v>
      </c>
      <c r="B132">
        <v>150</v>
      </c>
      <c r="C132">
        <v>4</v>
      </c>
      <c r="D132" t="str">
        <f t="shared" si="10"/>
        <v>&lt;=150</v>
      </c>
      <c r="E132">
        <f t="shared" si="11"/>
        <v>4</v>
      </c>
      <c r="F132" s="1">
        <f>INDEX('App-Click Conversion by Rank'!$K$12:$S$31,MATCH(E132,'App-Click Conversion by Rank'!$J$12:$J$31,0),MATCH(D132,'App-Click Conversion by Rank'!$K$11:$S$11,0))</f>
        <v>0.12549019607843137</v>
      </c>
      <c r="G132" s="3">
        <f t="shared" si="12"/>
        <v>0.50196078431372548</v>
      </c>
      <c r="H132" s="5">
        <f t="shared" si="13"/>
        <v>2.0078431372549019</v>
      </c>
      <c r="I132">
        <f t="shared" si="14"/>
        <v>16</v>
      </c>
    </row>
    <row r="133" spans="1:9" x14ac:dyDescent="0.45">
      <c r="A133">
        <v>2</v>
      </c>
      <c r="B133">
        <v>350</v>
      </c>
      <c r="C133">
        <v>191</v>
      </c>
      <c r="D133">
        <f t="shared" si="10"/>
        <v>350</v>
      </c>
      <c r="E133">
        <f t="shared" si="11"/>
        <v>2</v>
      </c>
      <c r="F133" s="1">
        <f>INDEX('App-Click Conversion by Rank'!$K$12:$S$31,MATCH(E133,'App-Click Conversion by Rank'!$J$12:$J$31,0),MATCH(D133,'App-Click Conversion by Rank'!$K$11:$S$11,0))</f>
        <v>0.10566877890049665</v>
      </c>
      <c r="G133" s="3">
        <f t="shared" si="12"/>
        <v>20.182736769994861</v>
      </c>
      <c r="H133" s="5">
        <f t="shared" si="13"/>
        <v>40.365473539989722</v>
      </c>
      <c r="I133">
        <f t="shared" si="14"/>
        <v>382</v>
      </c>
    </row>
    <row r="134" spans="1:9" x14ac:dyDescent="0.45">
      <c r="A134">
        <v>15</v>
      </c>
      <c r="B134">
        <v>600</v>
      </c>
      <c r="C134">
        <v>6</v>
      </c>
      <c r="D134" t="str">
        <f t="shared" si="10"/>
        <v>501+</v>
      </c>
      <c r="E134">
        <f t="shared" si="11"/>
        <v>15</v>
      </c>
      <c r="F134" s="1">
        <f>INDEX('App-Click Conversion by Rank'!$K$12:$S$31,MATCH(E134,'App-Click Conversion by Rank'!$J$12:$J$31,0),MATCH(D134,'App-Click Conversion by Rank'!$K$11:$S$11,0))</f>
        <v>3.3794657225619568E-3</v>
      </c>
      <c r="G134" s="3">
        <f t="shared" si="12"/>
        <v>2.0276794335371742E-2</v>
      </c>
      <c r="H134" s="5">
        <f t="shared" si="13"/>
        <v>0.30415191503057615</v>
      </c>
      <c r="I134">
        <f t="shared" si="14"/>
        <v>90</v>
      </c>
    </row>
    <row r="135" spans="1:9" x14ac:dyDescent="0.45">
      <c r="A135">
        <v>1</v>
      </c>
      <c r="B135">
        <v>550</v>
      </c>
      <c r="C135">
        <v>2</v>
      </c>
      <c r="D135" t="str">
        <f t="shared" si="10"/>
        <v>501+</v>
      </c>
      <c r="E135">
        <f t="shared" si="11"/>
        <v>1</v>
      </c>
      <c r="F135" s="1">
        <f>INDEX('App-Click Conversion by Rank'!$K$12:$S$31,MATCH(E135,'App-Click Conversion by Rank'!$J$12:$J$31,0),MATCH(D135,'App-Click Conversion by Rank'!$K$11:$S$11,0))</f>
        <v>0.12719738824711199</v>
      </c>
      <c r="G135" s="3">
        <f t="shared" si="12"/>
        <v>0.25439477649422398</v>
      </c>
      <c r="H135" s="5">
        <f t="shared" si="13"/>
        <v>0.25439477649422398</v>
      </c>
      <c r="I135">
        <f t="shared" si="14"/>
        <v>2</v>
      </c>
    </row>
    <row r="136" spans="1:9" x14ac:dyDescent="0.45">
      <c r="A136">
        <v>18</v>
      </c>
      <c r="B136">
        <v>400</v>
      </c>
      <c r="C136">
        <v>4</v>
      </c>
      <c r="D136">
        <f t="shared" si="10"/>
        <v>400</v>
      </c>
      <c r="E136">
        <f t="shared" si="11"/>
        <v>18</v>
      </c>
      <c r="F136" s="1">
        <f>INDEX('App-Click Conversion by Rank'!$K$12:$S$31,MATCH(E136,'App-Click Conversion by Rank'!$J$12:$J$31,0),MATCH(D136,'App-Click Conversion by Rank'!$K$11:$S$11,0))</f>
        <v>3.8113387327298712E-3</v>
      </c>
      <c r="G136" s="3">
        <f t="shared" si="12"/>
        <v>1.5245354930919485E-2</v>
      </c>
      <c r="H136" s="5">
        <f t="shared" si="13"/>
        <v>0.27441638875655072</v>
      </c>
      <c r="I136">
        <f t="shared" si="14"/>
        <v>72</v>
      </c>
    </row>
    <row r="137" spans="1:9" x14ac:dyDescent="0.45">
      <c r="A137">
        <v>5</v>
      </c>
      <c r="B137">
        <v>150</v>
      </c>
      <c r="C137">
        <v>3</v>
      </c>
      <c r="D137" t="str">
        <f t="shared" si="10"/>
        <v>&lt;=150</v>
      </c>
      <c r="E137">
        <f t="shared" si="11"/>
        <v>5</v>
      </c>
      <c r="F137" s="1">
        <f>INDEX('App-Click Conversion by Rank'!$K$12:$S$31,MATCH(E137,'App-Click Conversion by Rank'!$J$12:$J$31,0),MATCH(D137,'App-Click Conversion by Rank'!$K$11:$S$11,0))</f>
        <v>8.11965811965812E-2</v>
      </c>
      <c r="G137" s="3">
        <f t="shared" si="12"/>
        <v>0.24358974358974361</v>
      </c>
      <c r="H137" s="5">
        <f t="shared" si="13"/>
        <v>1.2179487179487181</v>
      </c>
      <c r="I137">
        <f t="shared" si="14"/>
        <v>15</v>
      </c>
    </row>
    <row r="138" spans="1:9" x14ac:dyDescent="0.45">
      <c r="A138">
        <v>23</v>
      </c>
      <c r="B138">
        <v>600</v>
      </c>
      <c r="C138">
        <v>2</v>
      </c>
      <c r="D138" t="str">
        <f t="shared" si="10"/>
        <v>501+</v>
      </c>
      <c r="E138" t="str">
        <f t="shared" si="11"/>
        <v>20+</v>
      </c>
      <c r="F138" s="1">
        <f>INDEX('App-Click Conversion by Rank'!$K$12:$S$31,MATCH(E138,'App-Click Conversion by Rank'!$J$12:$J$31,0),MATCH(D138,'App-Click Conversion by Rank'!$K$11:$S$11,0))</f>
        <v>5.9893958237873931E-3</v>
      </c>
      <c r="G138" s="3">
        <f t="shared" si="12"/>
        <v>1.1978791647574786E-2</v>
      </c>
      <c r="H138" s="5">
        <f t="shared" si="13"/>
        <v>0.2755122078942201</v>
      </c>
      <c r="I138">
        <f t="shared" si="14"/>
        <v>46</v>
      </c>
    </row>
    <row r="139" spans="1:9" x14ac:dyDescent="0.45">
      <c r="A139">
        <v>35</v>
      </c>
      <c r="B139">
        <v>550</v>
      </c>
      <c r="C139">
        <v>2</v>
      </c>
      <c r="D139" t="str">
        <f t="shared" si="10"/>
        <v>501+</v>
      </c>
      <c r="E139" t="str">
        <f t="shared" si="11"/>
        <v>20+</v>
      </c>
      <c r="F139" s="1">
        <f>INDEX('App-Click Conversion by Rank'!$K$12:$S$31,MATCH(E139,'App-Click Conversion by Rank'!$J$12:$J$31,0),MATCH(D139,'App-Click Conversion by Rank'!$K$11:$S$11,0))</f>
        <v>5.9893958237873931E-3</v>
      </c>
      <c r="G139" s="3">
        <f t="shared" si="12"/>
        <v>1.1978791647574786E-2</v>
      </c>
      <c r="H139" s="5">
        <f t="shared" si="13"/>
        <v>0.4192577076651175</v>
      </c>
      <c r="I139">
        <f t="shared" si="14"/>
        <v>70</v>
      </c>
    </row>
    <row r="140" spans="1:9" x14ac:dyDescent="0.45">
      <c r="A140">
        <v>13</v>
      </c>
      <c r="B140">
        <v>200</v>
      </c>
      <c r="C140">
        <v>1</v>
      </c>
      <c r="D140">
        <f t="shared" si="10"/>
        <v>200</v>
      </c>
      <c r="E140">
        <f t="shared" si="11"/>
        <v>13</v>
      </c>
      <c r="F140" s="1">
        <f>INDEX('App-Click Conversion by Rank'!$K$12:$S$31,MATCH(E140,'App-Click Conversion by Rank'!$J$12:$J$31,0),MATCH(D140,'App-Click Conversion by Rank'!$K$11:$S$11,0))</f>
        <v>7.3529411764705881E-3</v>
      </c>
      <c r="G140" s="3">
        <f t="shared" si="12"/>
        <v>7.3529411764705881E-3</v>
      </c>
      <c r="H140" s="5">
        <f t="shared" si="13"/>
        <v>9.5588235294117641E-2</v>
      </c>
      <c r="I140">
        <f t="shared" si="14"/>
        <v>13</v>
      </c>
    </row>
    <row r="141" spans="1:9" x14ac:dyDescent="0.45">
      <c r="A141">
        <v>5</v>
      </c>
      <c r="B141">
        <v>650</v>
      </c>
      <c r="C141">
        <v>1</v>
      </c>
      <c r="D141" t="str">
        <f t="shared" si="10"/>
        <v>501+</v>
      </c>
      <c r="E141">
        <f t="shared" si="11"/>
        <v>5</v>
      </c>
      <c r="F141" s="1">
        <f>INDEX('App-Click Conversion by Rank'!$K$12:$S$31,MATCH(E141,'App-Click Conversion by Rank'!$J$12:$J$31,0),MATCH(D141,'App-Click Conversion by Rank'!$K$11:$S$11,0))</f>
        <v>2.0504113882721692E-2</v>
      </c>
      <c r="G141" s="3">
        <f t="shared" si="12"/>
        <v>2.0504113882721692E-2</v>
      </c>
      <c r="H141" s="5">
        <f t="shared" si="13"/>
        <v>0.10252056941360846</v>
      </c>
      <c r="I141">
        <f t="shared" si="14"/>
        <v>5</v>
      </c>
    </row>
    <row r="142" spans="1:9" x14ac:dyDescent="0.45">
      <c r="A142">
        <v>7</v>
      </c>
      <c r="B142">
        <v>150</v>
      </c>
      <c r="C142">
        <v>1</v>
      </c>
      <c r="D142" t="str">
        <f t="shared" si="10"/>
        <v>&lt;=150</v>
      </c>
      <c r="E142">
        <f t="shared" si="11"/>
        <v>7</v>
      </c>
      <c r="F142" s="1">
        <f>INDEX('App-Click Conversion by Rank'!$K$12:$S$31,MATCH(E142,'App-Click Conversion by Rank'!$J$12:$J$31,0),MATCH(D142,'App-Click Conversion by Rank'!$K$11:$S$11,0))</f>
        <v>2.0202020202020204E-2</v>
      </c>
      <c r="G142" s="3">
        <f t="shared" si="12"/>
        <v>2.0202020202020204E-2</v>
      </c>
      <c r="H142" s="5">
        <f t="shared" si="13"/>
        <v>0.14141414141414144</v>
      </c>
      <c r="I142">
        <f t="shared" si="14"/>
        <v>7</v>
      </c>
    </row>
    <row r="143" spans="1:9" x14ac:dyDescent="0.45">
      <c r="A143">
        <v>5</v>
      </c>
      <c r="B143">
        <v>250</v>
      </c>
      <c r="C143">
        <v>102</v>
      </c>
      <c r="D143">
        <f t="shared" si="10"/>
        <v>250</v>
      </c>
      <c r="E143">
        <f t="shared" si="11"/>
        <v>5</v>
      </c>
      <c r="F143" s="1">
        <f>INDEX('App-Click Conversion by Rank'!$K$12:$S$31,MATCH(E143,'App-Click Conversion by Rank'!$J$12:$J$31,0),MATCH(D143,'App-Click Conversion by Rank'!$K$11:$S$11,0))</f>
        <v>5.772594752186589E-2</v>
      </c>
      <c r="G143" s="3">
        <f t="shared" si="12"/>
        <v>5.888046647230321</v>
      </c>
      <c r="H143" s="5">
        <f t="shared" si="13"/>
        <v>29.440233236151606</v>
      </c>
      <c r="I143">
        <f t="shared" si="14"/>
        <v>510</v>
      </c>
    </row>
    <row r="144" spans="1:9" x14ac:dyDescent="0.45">
      <c r="A144">
        <v>3</v>
      </c>
      <c r="B144">
        <v>350</v>
      </c>
      <c r="C144">
        <v>574</v>
      </c>
      <c r="D144">
        <f t="shared" si="10"/>
        <v>350</v>
      </c>
      <c r="E144">
        <f t="shared" si="11"/>
        <v>3</v>
      </c>
      <c r="F144" s="1">
        <f>INDEX('App-Click Conversion by Rank'!$K$12:$S$31,MATCH(E144,'App-Click Conversion by Rank'!$J$12:$J$31,0),MATCH(D144,'App-Click Conversion by Rank'!$K$11:$S$11,0))</f>
        <v>6.8351870576339735E-2</v>
      </c>
      <c r="G144" s="3">
        <f t="shared" si="12"/>
        <v>39.233973710819008</v>
      </c>
      <c r="H144" s="5">
        <f t="shared" si="13"/>
        <v>117.70192113245702</v>
      </c>
      <c r="I144">
        <f t="shared" si="14"/>
        <v>1722</v>
      </c>
    </row>
    <row r="145" spans="1:9" x14ac:dyDescent="0.45">
      <c r="A145">
        <v>13</v>
      </c>
      <c r="B145">
        <v>550</v>
      </c>
      <c r="C145">
        <v>791</v>
      </c>
      <c r="D145" t="str">
        <f t="shared" si="10"/>
        <v>501+</v>
      </c>
      <c r="E145">
        <f t="shared" si="11"/>
        <v>13</v>
      </c>
      <c r="F145" s="1">
        <f>INDEX('App-Click Conversion by Rank'!$K$12:$S$31,MATCH(E145,'App-Click Conversion by Rank'!$J$12:$J$31,0),MATCH(D145,'App-Click Conversion by Rank'!$K$11:$S$11,0))</f>
        <v>3.8179596823457542E-3</v>
      </c>
      <c r="G145" s="3">
        <f t="shared" si="12"/>
        <v>3.0200061087354917</v>
      </c>
      <c r="H145" s="5">
        <f t="shared" si="13"/>
        <v>39.260079413561392</v>
      </c>
      <c r="I145">
        <f t="shared" si="14"/>
        <v>10283</v>
      </c>
    </row>
    <row r="146" spans="1:9" x14ac:dyDescent="0.45">
      <c r="A146">
        <v>13</v>
      </c>
      <c r="B146">
        <v>500</v>
      </c>
      <c r="C146">
        <v>823</v>
      </c>
      <c r="D146">
        <f t="shared" si="10"/>
        <v>500</v>
      </c>
      <c r="E146">
        <f t="shared" si="11"/>
        <v>13</v>
      </c>
      <c r="F146" s="1">
        <f>INDEX('App-Click Conversion by Rank'!$K$12:$S$31,MATCH(E146,'App-Click Conversion by Rank'!$J$12:$J$31,0),MATCH(D146,'App-Click Conversion by Rank'!$K$11:$S$11,0))</f>
        <v>4.02060560371906E-3</v>
      </c>
      <c r="G146" s="3">
        <f t="shared" si="12"/>
        <v>3.3089584118607864</v>
      </c>
      <c r="H146" s="5">
        <f t="shared" si="13"/>
        <v>43.016459354190225</v>
      </c>
      <c r="I146">
        <f t="shared" si="14"/>
        <v>10699</v>
      </c>
    </row>
    <row r="147" spans="1:9" x14ac:dyDescent="0.45">
      <c r="A147">
        <v>12</v>
      </c>
      <c r="B147">
        <v>450</v>
      </c>
      <c r="C147">
        <v>795</v>
      </c>
      <c r="D147">
        <f t="shared" si="10"/>
        <v>450</v>
      </c>
      <c r="E147">
        <f t="shared" si="11"/>
        <v>12</v>
      </c>
      <c r="F147" s="1">
        <f>INDEX('App-Click Conversion by Rank'!$K$12:$S$31,MATCH(E147,'App-Click Conversion by Rank'!$J$12:$J$31,0),MATCH(D147,'App-Click Conversion by Rank'!$K$11:$S$11,0))</f>
        <v>5.1795580110497235E-3</v>
      </c>
      <c r="G147" s="3">
        <f t="shared" si="12"/>
        <v>4.11774861878453</v>
      </c>
      <c r="H147" s="5">
        <f t="shared" si="13"/>
        <v>49.41298342541436</v>
      </c>
      <c r="I147">
        <f t="shared" si="14"/>
        <v>9540</v>
      </c>
    </row>
    <row r="148" spans="1:9" x14ac:dyDescent="0.45">
      <c r="A148">
        <v>3</v>
      </c>
      <c r="B148">
        <v>450</v>
      </c>
      <c r="C148">
        <v>868</v>
      </c>
      <c r="D148">
        <f t="shared" si="10"/>
        <v>450</v>
      </c>
      <c r="E148">
        <f t="shared" si="11"/>
        <v>3</v>
      </c>
      <c r="F148" s="1">
        <f>INDEX('App-Click Conversion by Rank'!$K$12:$S$31,MATCH(E148,'App-Click Conversion by Rank'!$J$12:$J$31,0),MATCH(D148,'App-Click Conversion by Rank'!$K$11:$S$11,0))</f>
        <v>5.0193489642613248E-2</v>
      </c>
      <c r="G148" s="3">
        <f t="shared" si="12"/>
        <v>43.5679490097883</v>
      </c>
      <c r="H148" s="5">
        <f t="shared" si="13"/>
        <v>130.70384702936491</v>
      </c>
      <c r="I148">
        <f t="shared" si="14"/>
        <v>2604</v>
      </c>
    </row>
    <row r="149" spans="1:9" x14ac:dyDescent="0.45">
      <c r="A149">
        <v>11</v>
      </c>
      <c r="B149">
        <v>250</v>
      </c>
      <c r="C149">
        <v>6</v>
      </c>
      <c r="D149">
        <f t="shared" si="10"/>
        <v>250</v>
      </c>
      <c r="E149">
        <f t="shared" si="11"/>
        <v>11</v>
      </c>
      <c r="F149" s="1">
        <f>INDEX('App-Click Conversion by Rank'!$K$12:$S$31,MATCH(E149,'App-Click Conversion by Rank'!$J$12:$J$31,0),MATCH(D149,'App-Click Conversion by Rank'!$K$11:$S$11,0))</f>
        <v>8.7463556851311956E-3</v>
      </c>
      <c r="G149" s="3">
        <f t="shared" si="12"/>
        <v>5.2478134110787174E-2</v>
      </c>
      <c r="H149" s="5">
        <f t="shared" si="13"/>
        <v>0.57725947521865895</v>
      </c>
      <c r="I149">
        <f t="shared" si="14"/>
        <v>66</v>
      </c>
    </row>
    <row r="150" spans="1:9" x14ac:dyDescent="0.45">
      <c r="A150">
        <v>10</v>
      </c>
      <c r="B150">
        <v>350</v>
      </c>
      <c r="C150">
        <v>50</v>
      </c>
      <c r="D150">
        <f t="shared" si="10"/>
        <v>350</v>
      </c>
      <c r="E150">
        <f t="shared" si="11"/>
        <v>10</v>
      </c>
      <c r="F150" s="1">
        <f>INDEX('App-Click Conversion by Rank'!$K$12:$S$31,MATCH(E150,'App-Click Conversion by Rank'!$J$12:$J$31,0),MATCH(D150,'App-Click Conversion by Rank'!$K$11:$S$11,0))</f>
        <v>9.1474570069520669E-3</v>
      </c>
      <c r="G150" s="3">
        <f t="shared" si="12"/>
        <v>0.45737285034760333</v>
      </c>
      <c r="H150" s="5">
        <f t="shared" si="13"/>
        <v>4.5737285034760333</v>
      </c>
      <c r="I150">
        <f t="shared" si="14"/>
        <v>500</v>
      </c>
    </row>
    <row r="151" spans="1:9" x14ac:dyDescent="0.45">
      <c r="A151">
        <v>14</v>
      </c>
      <c r="B151">
        <v>400</v>
      </c>
      <c r="C151">
        <v>10</v>
      </c>
      <c r="D151">
        <f t="shared" si="10"/>
        <v>400</v>
      </c>
      <c r="E151">
        <f t="shared" si="11"/>
        <v>14</v>
      </c>
      <c r="F151" s="1">
        <f>INDEX('App-Click Conversion by Rank'!$K$12:$S$31,MATCH(E151,'App-Click Conversion by Rank'!$J$12:$J$31,0),MATCH(D151,'App-Click Conversion by Rank'!$K$11:$S$11,0))</f>
        <v>4.6901172529313232E-3</v>
      </c>
      <c r="G151" s="3">
        <f t="shared" si="12"/>
        <v>4.690117252931323E-2</v>
      </c>
      <c r="H151" s="5">
        <f t="shared" si="13"/>
        <v>0.65661641541038518</v>
      </c>
      <c r="I151">
        <f t="shared" si="14"/>
        <v>140</v>
      </c>
    </row>
    <row r="152" spans="1:9" x14ac:dyDescent="0.45">
      <c r="A152">
        <v>16</v>
      </c>
      <c r="B152">
        <v>400</v>
      </c>
      <c r="C152">
        <v>6</v>
      </c>
      <c r="D152">
        <f t="shared" si="10"/>
        <v>400</v>
      </c>
      <c r="E152">
        <f t="shared" si="11"/>
        <v>16</v>
      </c>
      <c r="F152" s="1">
        <f>INDEX('App-Click Conversion by Rank'!$K$12:$S$31,MATCH(E152,'App-Click Conversion by Rank'!$J$12:$J$31,0),MATCH(D152,'App-Click Conversion by Rank'!$K$11:$S$11,0))</f>
        <v>5.9880239520958087E-3</v>
      </c>
      <c r="G152" s="3">
        <f t="shared" si="12"/>
        <v>3.5928143712574856E-2</v>
      </c>
      <c r="H152" s="5">
        <f t="shared" si="13"/>
        <v>0.5748502994011977</v>
      </c>
      <c r="I152">
        <f t="shared" si="14"/>
        <v>96</v>
      </c>
    </row>
    <row r="153" spans="1:9" x14ac:dyDescent="0.45">
      <c r="A153">
        <v>1</v>
      </c>
      <c r="B153">
        <v>250</v>
      </c>
      <c r="C153">
        <v>1</v>
      </c>
      <c r="D153">
        <f t="shared" si="10"/>
        <v>250</v>
      </c>
      <c r="E153">
        <f t="shared" si="11"/>
        <v>1</v>
      </c>
      <c r="F153" s="1">
        <f>INDEX('App-Click Conversion by Rank'!$K$12:$S$31,MATCH(E153,'App-Click Conversion by Rank'!$J$12:$J$31,0),MATCH(D153,'App-Click Conversion by Rank'!$K$11:$S$11,0))</f>
        <v>0.3187376725838264</v>
      </c>
      <c r="G153" s="3">
        <f t="shared" si="12"/>
        <v>0.3187376725838264</v>
      </c>
      <c r="H153" s="5">
        <f t="shared" si="13"/>
        <v>0.3187376725838264</v>
      </c>
      <c r="I153">
        <f t="shared" si="14"/>
        <v>1</v>
      </c>
    </row>
    <row r="154" spans="1:9" x14ac:dyDescent="0.45">
      <c r="A154">
        <v>18</v>
      </c>
      <c r="B154">
        <v>450</v>
      </c>
      <c r="C154">
        <v>10</v>
      </c>
      <c r="D154">
        <f t="shared" si="10"/>
        <v>450</v>
      </c>
      <c r="E154">
        <f t="shared" si="11"/>
        <v>18</v>
      </c>
      <c r="F154" s="1">
        <f>INDEX('App-Click Conversion by Rank'!$K$12:$S$31,MATCH(E154,'App-Click Conversion by Rank'!$J$12:$J$31,0),MATCH(D154,'App-Click Conversion by Rank'!$K$11:$S$11,0))</f>
        <v>2.6493256262042388E-3</v>
      </c>
      <c r="G154" s="3">
        <f t="shared" si="12"/>
        <v>2.6493256262042388E-2</v>
      </c>
      <c r="H154" s="5">
        <f t="shared" si="13"/>
        <v>0.47687861271676296</v>
      </c>
      <c r="I154">
        <f t="shared" si="14"/>
        <v>180</v>
      </c>
    </row>
    <row r="155" spans="1:9" x14ac:dyDescent="0.45">
      <c r="A155">
        <v>5</v>
      </c>
      <c r="B155">
        <v>200</v>
      </c>
      <c r="C155">
        <v>25</v>
      </c>
      <c r="D155">
        <f t="shared" si="10"/>
        <v>200</v>
      </c>
      <c r="E155">
        <f t="shared" si="11"/>
        <v>5</v>
      </c>
      <c r="F155" s="1">
        <f>INDEX('App-Click Conversion by Rank'!$K$12:$S$31,MATCH(E155,'App-Click Conversion by Rank'!$J$12:$J$31,0),MATCH(D155,'App-Click Conversion by Rank'!$K$11:$S$11,0))</f>
        <v>5.2173913043478258E-2</v>
      </c>
      <c r="G155" s="3">
        <f t="shared" si="12"/>
        <v>1.3043478260869565</v>
      </c>
      <c r="H155" s="5">
        <f t="shared" si="13"/>
        <v>6.5217391304347831</v>
      </c>
      <c r="I155">
        <f t="shared" si="14"/>
        <v>125</v>
      </c>
    </row>
    <row r="156" spans="1:9" x14ac:dyDescent="0.45">
      <c r="A156">
        <v>21</v>
      </c>
      <c r="B156">
        <v>450</v>
      </c>
      <c r="C156">
        <v>4</v>
      </c>
      <c r="D156">
        <f t="shared" si="10"/>
        <v>450</v>
      </c>
      <c r="E156" t="str">
        <f t="shared" si="11"/>
        <v>20+</v>
      </c>
      <c r="F156" s="1">
        <f>INDEX('App-Click Conversion by Rank'!$K$12:$S$31,MATCH(E156,'App-Click Conversion by Rank'!$J$12:$J$31,0),MATCH(D156,'App-Click Conversion by Rank'!$K$11:$S$11,0))</f>
        <v>5.6022408963585435E-3</v>
      </c>
      <c r="G156" s="3">
        <f t="shared" si="12"/>
        <v>2.2408963585434174E-2</v>
      </c>
      <c r="H156" s="5">
        <f t="shared" si="13"/>
        <v>0.47058823529411764</v>
      </c>
      <c r="I156">
        <f t="shared" si="14"/>
        <v>84</v>
      </c>
    </row>
    <row r="157" spans="1:9" x14ac:dyDescent="0.45">
      <c r="A157">
        <v>6</v>
      </c>
      <c r="B157">
        <v>200</v>
      </c>
      <c r="C157">
        <v>10</v>
      </c>
      <c r="D157">
        <f t="shared" si="10"/>
        <v>200</v>
      </c>
      <c r="E157">
        <f t="shared" si="11"/>
        <v>6</v>
      </c>
      <c r="F157" s="1">
        <f>INDEX('App-Click Conversion by Rank'!$K$12:$S$31,MATCH(E157,'App-Click Conversion by Rank'!$J$12:$J$31,0),MATCH(D157,'App-Click Conversion by Rank'!$K$11:$S$11,0))</f>
        <v>3.486529318541997E-2</v>
      </c>
      <c r="G157" s="3">
        <f t="shared" si="12"/>
        <v>0.34865293185419971</v>
      </c>
      <c r="H157" s="5">
        <f t="shared" si="13"/>
        <v>2.0919175911251982</v>
      </c>
      <c r="I157">
        <f t="shared" si="14"/>
        <v>60</v>
      </c>
    </row>
    <row r="158" spans="1:9" x14ac:dyDescent="0.45">
      <c r="A158">
        <v>17</v>
      </c>
      <c r="B158">
        <v>600</v>
      </c>
      <c r="C158">
        <v>9</v>
      </c>
      <c r="D158" t="str">
        <f t="shared" si="10"/>
        <v>501+</v>
      </c>
      <c r="E158">
        <f t="shared" si="11"/>
        <v>17</v>
      </c>
      <c r="F158" s="1">
        <f>INDEX('App-Click Conversion by Rank'!$K$12:$S$31,MATCH(E158,'App-Click Conversion by Rank'!$J$12:$J$31,0),MATCH(D158,'App-Click Conversion by Rank'!$K$11:$S$11,0))</f>
        <v>2.660901380342591E-3</v>
      </c>
      <c r="G158" s="3">
        <f t="shared" si="12"/>
        <v>2.3948112423083319E-2</v>
      </c>
      <c r="H158" s="5">
        <f t="shared" si="13"/>
        <v>0.40711791119241642</v>
      </c>
      <c r="I158">
        <f t="shared" si="14"/>
        <v>153</v>
      </c>
    </row>
    <row r="159" spans="1:9" x14ac:dyDescent="0.45">
      <c r="A159">
        <v>24</v>
      </c>
      <c r="B159">
        <v>500</v>
      </c>
      <c r="C159">
        <v>4</v>
      </c>
      <c r="D159">
        <f t="shared" si="10"/>
        <v>500</v>
      </c>
      <c r="E159" t="str">
        <f t="shared" si="11"/>
        <v>20+</v>
      </c>
      <c r="F159" s="1">
        <f>INDEX('App-Click Conversion by Rank'!$K$12:$S$31,MATCH(E159,'App-Click Conversion by Rank'!$J$12:$J$31,0),MATCH(D159,'App-Click Conversion by Rank'!$K$11:$S$11,0))</f>
        <v>5.1121544079290558E-3</v>
      </c>
      <c r="G159" s="3">
        <f t="shared" si="12"/>
        <v>2.0448617631716223E-2</v>
      </c>
      <c r="H159" s="5">
        <f t="shared" si="13"/>
        <v>0.49076682316118936</v>
      </c>
      <c r="I159">
        <f t="shared" si="14"/>
        <v>96</v>
      </c>
    </row>
    <row r="160" spans="1:9" x14ac:dyDescent="0.45">
      <c r="A160">
        <v>32</v>
      </c>
      <c r="B160">
        <v>350</v>
      </c>
      <c r="C160">
        <v>1</v>
      </c>
      <c r="D160">
        <f t="shared" si="10"/>
        <v>350</v>
      </c>
      <c r="E160" t="str">
        <f t="shared" si="11"/>
        <v>20+</v>
      </c>
      <c r="F160" s="1">
        <f>INDEX('App-Click Conversion by Rank'!$K$12:$S$31,MATCH(E160,'App-Click Conversion by Rank'!$J$12:$J$31,0),MATCH(D160,'App-Click Conversion by Rank'!$K$11:$S$11,0))</f>
        <v>4.1279669762641896E-3</v>
      </c>
      <c r="G160" s="3">
        <f t="shared" si="12"/>
        <v>4.1279669762641896E-3</v>
      </c>
      <c r="H160" s="5">
        <f t="shared" si="13"/>
        <v>0.13209494324045407</v>
      </c>
      <c r="I160">
        <f t="shared" si="14"/>
        <v>32</v>
      </c>
    </row>
    <row r="161" spans="1:9" x14ac:dyDescent="0.45">
      <c r="A161">
        <v>27</v>
      </c>
      <c r="B161">
        <v>450</v>
      </c>
      <c r="C161">
        <v>1</v>
      </c>
      <c r="D161">
        <f t="shared" si="10"/>
        <v>450</v>
      </c>
      <c r="E161" t="str">
        <f t="shared" si="11"/>
        <v>20+</v>
      </c>
      <c r="F161" s="1">
        <f>INDEX('App-Click Conversion by Rank'!$K$12:$S$31,MATCH(E161,'App-Click Conversion by Rank'!$J$12:$J$31,0),MATCH(D161,'App-Click Conversion by Rank'!$K$11:$S$11,0))</f>
        <v>5.6022408963585435E-3</v>
      </c>
      <c r="G161" s="3">
        <f t="shared" si="12"/>
        <v>5.6022408963585435E-3</v>
      </c>
      <c r="H161" s="5">
        <f t="shared" si="13"/>
        <v>0.15126050420168066</v>
      </c>
      <c r="I161">
        <f t="shared" si="14"/>
        <v>27</v>
      </c>
    </row>
    <row r="162" spans="1:9" x14ac:dyDescent="0.45">
      <c r="A162">
        <v>3</v>
      </c>
      <c r="B162">
        <v>0</v>
      </c>
      <c r="C162">
        <v>1</v>
      </c>
      <c r="D162" t="str">
        <f t="shared" si="10"/>
        <v>&lt;=150</v>
      </c>
      <c r="E162">
        <f t="shared" si="11"/>
        <v>3</v>
      </c>
      <c r="F162" s="1">
        <f>INDEX('App-Click Conversion by Rank'!$K$12:$S$31,MATCH(E162,'App-Click Conversion by Rank'!$J$12:$J$31,0),MATCH(D162,'App-Click Conversion by Rank'!$K$11:$S$11,0))</f>
        <v>9.8360655737704916E-2</v>
      </c>
      <c r="G162" s="3">
        <f t="shared" si="12"/>
        <v>9.8360655737704916E-2</v>
      </c>
      <c r="H162" s="5">
        <f t="shared" si="13"/>
        <v>0.29508196721311475</v>
      </c>
      <c r="I162">
        <f t="shared" si="14"/>
        <v>3</v>
      </c>
    </row>
    <row r="163" spans="1:9" x14ac:dyDescent="0.45">
      <c r="A163">
        <v>12</v>
      </c>
      <c r="B163">
        <v>500</v>
      </c>
      <c r="C163">
        <v>2291</v>
      </c>
      <c r="D163">
        <f t="shared" si="10"/>
        <v>500</v>
      </c>
      <c r="E163">
        <f t="shared" si="11"/>
        <v>12</v>
      </c>
      <c r="F163" s="1">
        <f>INDEX('App-Click Conversion by Rank'!$K$12:$S$31,MATCH(E163,'App-Click Conversion by Rank'!$J$12:$J$31,0),MATCH(D163,'App-Click Conversion by Rank'!$K$11:$S$11,0))</f>
        <v>3.7671649046056629E-3</v>
      </c>
      <c r="G163" s="3">
        <f t="shared" si="12"/>
        <v>8.6305747964515742</v>
      </c>
      <c r="H163" s="5">
        <f t="shared" si="13"/>
        <v>103.56689755741888</v>
      </c>
      <c r="I163">
        <f t="shared" si="14"/>
        <v>27492</v>
      </c>
    </row>
    <row r="164" spans="1:9" x14ac:dyDescent="0.45">
      <c r="A164">
        <v>12</v>
      </c>
      <c r="B164">
        <v>550</v>
      </c>
      <c r="C164">
        <v>1738</v>
      </c>
      <c r="D164" t="str">
        <f t="shared" si="10"/>
        <v>501+</v>
      </c>
      <c r="E164">
        <f t="shared" si="11"/>
        <v>12</v>
      </c>
      <c r="F164" s="1">
        <f>INDEX('App-Click Conversion by Rank'!$K$12:$S$31,MATCH(E164,'App-Click Conversion by Rank'!$J$12:$J$31,0),MATCH(D164,'App-Click Conversion by Rank'!$K$11:$S$11,0))</f>
        <v>4.3071439180157435E-3</v>
      </c>
      <c r="G164" s="3">
        <f t="shared" si="12"/>
        <v>7.4858161295113623</v>
      </c>
      <c r="H164" s="5">
        <f t="shared" si="13"/>
        <v>89.829793554136344</v>
      </c>
      <c r="I164">
        <f t="shared" si="14"/>
        <v>20856</v>
      </c>
    </row>
    <row r="165" spans="1:9" x14ac:dyDescent="0.45">
      <c r="A165">
        <v>6</v>
      </c>
      <c r="B165">
        <v>400</v>
      </c>
      <c r="C165">
        <v>389</v>
      </c>
      <c r="D165">
        <f t="shared" si="10"/>
        <v>400</v>
      </c>
      <c r="E165">
        <f t="shared" si="11"/>
        <v>6</v>
      </c>
      <c r="F165" s="1">
        <f>INDEX('App-Click Conversion by Rank'!$K$12:$S$31,MATCH(E165,'App-Click Conversion by Rank'!$J$12:$J$31,0),MATCH(D165,'App-Click Conversion by Rank'!$K$11:$S$11,0))</f>
        <v>2.3052741879147746E-2</v>
      </c>
      <c r="G165" s="3">
        <f t="shared" si="12"/>
        <v>8.967516590988474</v>
      </c>
      <c r="H165" s="5">
        <f t="shared" si="13"/>
        <v>53.805099545930844</v>
      </c>
      <c r="I165">
        <f t="shared" si="14"/>
        <v>2334</v>
      </c>
    </row>
    <row r="166" spans="1:9" x14ac:dyDescent="0.45">
      <c r="A166">
        <v>2</v>
      </c>
      <c r="B166">
        <v>400</v>
      </c>
      <c r="C166">
        <v>222</v>
      </c>
      <c r="D166">
        <f t="shared" si="10"/>
        <v>400</v>
      </c>
      <c r="E166">
        <f t="shared" si="11"/>
        <v>2</v>
      </c>
      <c r="F166" s="1">
        <f>INDEX('App-Click Conversion by Rank'!$K$12:$S$31,MATCH(E166,'App-Click Conversion by Rank'!$J$12:$J$31,0),MATCH(D166,'App-Click Conversion by Rank'!$K$11:$S$11,0))</f>
        <v>8.940352766931467E-2</v>
      </c>
      <c r="G166" s="3">
        <f t="shared" si="12"/>
        <v>19.847583142587858</v>
      </c>
      <c r="H166" s="5">
        <f t="shared" si="13"/>
        <v>39.695166285175716</v>
      </c>
      <c r="I166">
        <f t="shared" si="14"/>
        <v>444</v>
      </c>
    </row>
    <row r="167" spans="1:9" x14ac:dyDescent="0.45">
      <c r="A167">
        <v>13</v>
      </c>
      <c r="B167">
        <v>450</v>
      </c>
      <c r="C167">
        <v>290</v>
      </c>
      <c r="D167">
        <f t="shared" si="10"/>
        <v>450</v>
      </c>
      <c r="E167">
        <f t="shared" si="11"/>
        <v>13</v>
      </c>
      <c r="F167" s="1">
        <f>INDEX('App-Click Conversion by Rank'!$K$12:$S$31,MATCH(E167,'App-Click Conversion by Rank'!$J$12:$J$31,0),MATCH(D167,'App-Click Conversion by Rank'!$K$11:$S$11,0))</f>
        <v>3.8468583989741713E-3</v>
      </c>
      <c r="G167" s="3">
        <f t="shared" si="12"/>
        <v>1.1155889357025097</v>
      </c>
      <c r="H167" s="5">
        <f t="shared" si="13"/>
        <v>14.502656164132626</v>
      </c>
      <c r="I167">
        <f t="shared" si="14"/>
        <v>3770</v>
      </c>
    </row>
    <row r="168" spans="1:9" x14ac:dyDescent="0.45">
      <c r="A168">
        <v>4</v>
      </c>
      <c r="B168">
        <v>400</v>
      </c>
      <c r="C168">
        <v>234</v>
      </c>
      <c r="D168">
        <f t="shared" si="10"/>
        <v>400</v>
      </c>
      <c r="E168">
        <f t="shared" si="11"/>
        <v>4</v>
      </c>
      <c r="F168" s="1">
        <f>INDEX('App-Click Conversion by Rank'!$K$12:$S$31,MATCH(E168,'App-Click Conversion by Rank'!$J$12:$J$31,0),MATCH(D168,'App-Click Conversion by Rank'!$K$11:$S$11,0))</f>
        <v>4.4208524797971792E-2</v>
      </c>
      <c r="G168" s="3">
        <f t="shared" si="12"/>
        <v>10.344794802725399</v>
      </c>
      <c r="H168" s="5">
        <f t="shared" si="13"/>
        <v>41.379179210901597</v>
      </c>
      <c r="I168">
        <f t="shared" si="14"/>
        <v>936</v>
      </c>
    </row>
    <row r="169" spans="1:9" x14ac:dyDescent="0.45">
      <c r="A169">
        <v>7</v>
      </c>
      <c r="B169">
        <v>400</v>
      </c>
      <c r="C169">
        <v>206</v>
      </c>
      <c r="D169">
        <f t="shared" si="10"/>
        <v>400</v>
      </c>
      <c r="E169">
        <f t="shared" si="11"/>
        <v>7</v>
      </c>
      <c r="F169" s="1">
        <f>INDEX('App-Click Conversion by Rank'!$K$12:$S$31,MATCH(E169,'App-Click Conversion by Rank'!$J$12:$J$31,0),MATCH(D169,'App-Click Conversion by Rank'!$K$11:$S$11,0))</f>
        <v>1.7432358816052297E-2</v>
      </c>
      <c r="G169" s="3">
        <f t="shared" si="12"/>
        <v>3.5910659161067731</v>
      </c>
      <c r="H169" s="5">
        <f t="shared" si="13"/>
        <v>25.137461412747413</v>
      </c>
      <c r="I169">
        <f t="shared" si="14"/>
        <v>1442</v>
      </c>
    </row>
    <row r="170" spans="1:9" x14ac:dyDescent="0.45">
      <c r="A170">
        <v>18</v>
      </c>
      <c r="B170">
        <v>550</v>
      </c>
      <c r="C170">
        <v>54</v>
      </c>
      <c r="D170" t="str">
        <f t="shared" si="10"/>
        <v>501+</v>
      </c>
      <c r="E170">
        <f t="shared" si="11"/>
        <v>18</v>
      </c>
      <c r="F170" s="1">
        <f>INDEX('App-Click Conversion by Rank'!$K$12:$S$31,MATCH(E170,'App-Click Conversion by Rank'!$J$12:$J$31,0),MATCH(D170,'App-Click Conversion by Rank'!$K$11:$S$11,0))</f>
        <v>2.0408163265306124E-3</v>
      </c>
      <c r="G170" s="3">
        <f t="shared" si="12"/>
        <v>0.11020408163265308</v>
      </c>
      <c r="H170" s="5">
        <f t="shared" si="13"/>
        <v>1.9836734693877554</v>
      </c>
      <c r="I170">
        <f t="shared" si="14"/>
        <v>972</v>
      </c>
    </row>
    <row r="171" spans="1:9" x14ac:dyDescent="0.45">
      <c r="A171">
        <v>3</v>
      </c>
      <c r="B171">
        <v>150</v>
      </c>
      <c r="C171">
        <v>15</v>
      </c>
      <c r="D171" t="str">
        <f t="shared" si="10"/>
        <v>&lt;=150</v>
      </c>
      <c r="E171">
        <f t="shared" si="11"/>
        <v>3</v>
      </c>
      <c r="F171" s="1">
        <f>INDEX('App-Click Conversion by Rank'!$K$12:$S$31,MATCH(E171,'App-Click Conversion by Rank'!$J$12:$J$31,0),MATCH(D171,'App-Click Conversion by Rank'!$K$11:$S$11,0))</f>
        <v>9.8360655737704916E-2</v>
      </c>
      <c r="G171" s="3">
        <f t="shared" si="12"/>
        <v>1.4754098360655736</v>
      </c>
      <c r="H171" s="5">
        <f t="shared" si="13"/>
        <v>4.4262295081967213</v>
      </c>
      <c r="I171">
        <f t="shared" si="14"/>
        <v>45</v>
      </c>
    </row>
    <row r="172" spans="1:9" x14ac:dyDescent="0.45">
      <c r="A172">
        <v>9</v>
      </c>
      <c r="B172">
        <v>400</v>
      </c>
      <c r="C172">
        <v>185</v>
      </c>
      <c r="D172">
        <f t="shared" si="10"/>
        <v>400</v>
      </c>
      <c r="E172">
        <f t="shared" si="11"/>
        <v>9</v>
      </c>
      <c r="F172" s="1">
        <f>INDEX('App-Click Conversion by Rank'!$K$12:$S$31,MATCH(E172,'App-Click Conversion by Rank'!$J$12:$J$31,0),MATCH(D172,'App-Click Conversion by Rank'!$K$11:$S$11,0))</f>
        <v>1.1405207660856467E-2</v>
      </c>
      <c r="G172" s="3">
        <f t="shared" si="12"/>
        <v>2.1099634172584465</v>
      </c>
      <c r="H172" s="5">
        <f t="shared" si="13"/>
        <v>18.989670755326017</v>
      </c>
      <c r="I172">
        <f t="shared" si="14"/>
        <v>1665</v>
      </c>
    </row>
    <row r="173" spans="1:9" x14ac:dyDescent="0.45">
      <c r="A173">
        <v>10</v>
      </c>
      <c r="B173">
        <v>600</v>
      </c>
      <c r="C173">
        <v>35</v>
      </c>
      <c r="D173" t="str">
        <f t="shared" si="10"/>
        <v>501+</v>
      </c>
      <c r="E173">
        <f t="shared" si="11"/>
        <v>10</v>
      </c>
      <c r="F173" s="1">
        <f>INDEX('App-Click Conversion by Rank'!$K$12:$S$31,MATCH(E173,'App-Click Conversion by Rank'!$J$12:$J$31,0),MATCH(D173,'App-Click Conversion by Rank'!$K$11:$S$11,0))</f>
        <v>7.1592210767468497E-3</v>
      </c>
      <c r="G173" s="3">
        <f t="shared" si="12"/>
        <v>0.25057273768613975</v>
      </c>
      <c r="H173" s="5">
        <f t="shared" si="13"/>
        <v>2.5057273768613975</v>
      </c>
      <c r="I173">
        <f t="shared" si="14"/>
        <v>350</v>
      </c>
    </row>
    <row r="174" spans="1:9" x14ac:dyDescent="0.45">
      <c r="A174">
        <v>8</v>
      </c>
      <c r="B174">
        <v>300</v>
      </c>
      <c r="C174">
        <v>42</v>
      </c>
      <c r="D174">
        <f t="shared" si="10"/>
        <v>300</v>
      </c>
      <c r="E174">
        <f t="shared" si="11"/>
        <v>8</v>
      </c>
      <c r="F174" s="1">
        <f>INDEX('App-Click Conversion by Rank'!$K$12:$S$31,MATCH(E174,'App-Click Conversion by Rank'!$J$12:$J$31,0),MATCH(D174,'App-Click Conversion by Rank'!$K$11:$S$11,0))</f>
        <v>2.3454157782515993E-2</v>
      </c>
      <c r="G174" s="3">
        <f t="shared" si="12"/>
        <v>0.98507462686567171</v>
      </c>
      <c r="H174" s="5">
        <f t="shared" si="13"/>
        <v>7.8805970149253737</v>
      </c>
      <c r="I174">
        <f t="shared" si="14"/>
        <v>336</v>
      </c>
    </row>
    <row r="175" spans="1:9" x14ac:dyDescent="0.45">
      <c r="A175">
        <v>3</v>
      </c>
      <c r="B175">
        <v>600</v>
      </c>
      <c r="C175">
        <v>20</v>
      </c>
      <c r="D175" t="str">
        <f t="shared" si="10"/>
        <v>501+</v>
      </c>
      <c r="E175">
        <f t="shared" si="11"/>
        <v>3</v>
      </c>
      <c r="F175" s="1">
        <f>INDEX('App-Click Conversion by Rank'!$K$12:$S$31,MATCH(E175,'App-Click Conversion by Rank'!$J$12:$J$31,0),MATCH(D175,'App-Click Conversion by Rank'!$K$11:$S$11,0))</f>
        <v>4.4627885979620793E-2</v>
      </c>
      <c r="G175" s="3">
        <f t="shared" si="12"/>
        <v>0.89255771959241592</v>
      </c>
      <c r="H175" s="5">
        <f t="shared" si="13"/>
        <v>2.6776731587772478</v>
      </c>
      <c r="I175">
        <f t="shared" si="14"/>
        <v>60</v>
      </c>
    </row>
    <row r="176" spans="1:9" x14ac:dyDescent="0.45">
      <c r="A176">
        <v>29</v>
      </c>
      <c r="B176">
        <v>550</v>
      </c>
      <c r="C176">
        <v>4</v>
      </c>
      <c r="D176" t="str">
        <f t="shared" si="10"/>
        <v>501+</v>
      </c>
      <c r="E176" t="str">
        <f t="shared" si="11"/>
        <v>20+</v>
      </c>
      <c r="F176" s="1">
        <f>INDEX('App-Click Conversion by Rank'!$K$12:$S$31,MATCH(E176,'App-Click Conversion by Rank'!$J$12:$J$31,0),MATCH(D176,'App-Click Conversion by Rank'!$K$11:$S$11,0))</f>
        <v>5.9893958237873931E-3</v>
      </c>
      <c r="G176" s="3">
        <f t="shared" si="12"/>
        <v>2.3957583295149572E-2</v>
      </c>
      <c r="H176" s="5">
        <f t="shared" si="13"/>
        <v>0.69476991555933765</v>
      </c>
      <c r="I176">
        <f t="shared" si="14"/>
        <v>116</v>
      </c>
    </row>
    <row r="177" spans="1:9" x14ac:dyDescent="0.45">
      <c r="A177">
        <v>19</v>
      </c>
      <c r="B177">
        <v>550</v>
      </c>
      <c r="C177">
        <v>13</v>
      </c>
      <c r="D177" t="str">
        <f t="shared" si="10"/>
        <v>501+</v>
      </c>
      <c r="E177">
        <f t="shared" si="11"/>
        <v>19</v>
      </c>
      <c r="F177" s="1">
        <f>INDEX('App-Click Conversion by Rank'!$K$12:$S$31,MATCH(E177,'App-Click Conversion by Rank'!$J$12:$J$31,0),MATCH(D177,'App-Click Conversion by Rank'!$K$11:$S$11,0))</f>
        <v>2.8030833917309038E-3</v>
      </c>
      <c r="G177" s="3">
        <f t="shared" si="12"/>
        <v>3.6440084092501747E-2</v>
      </c>
      <c r="H177" s="5">
        <f t="shared" si="13"/>
        <v>0.69236159775753314</v>
      </c>
      <c r="I177">
        <f t="shared" si="14"/>
        <v>247</v>
      </c>
    </row>
    <row r="178" spans="1:9" x14ac:dyDescent="0.45">
      <c r="A178">
        <v>19</v>
      </c>
      <c r="B178">
        <v>500</v>
      </c>
      <c r="C178">
        <v>5</v>
      </c>
      <c r="D178">
        <f t="shared" si="10"/>
        <v>500</v>
      </c>
      <c r="E178">
        <f t="shared" si="11"/>
        <v>19</v>
      </c>
      <c r="F178" s="1">
        <f>INDEX('App-Click Conversion by Rank'!$K$12:$S$31,MATCH(E178,'App-Click Conversion by Rank'!$J$12:$J$31,0),MATCH(D178,'App-Click Conversion by Rank'!$K$11:$S$11,0))</f>
        <v>3.4848724853476952E-3</v>
      </c>
      <c r="G178" s="3">
        <f t="shared" si="12"/>
        <v>1.7424362426738477E-2</v>
      </c>
      <c r="H178" s="5">
        <f t="shared" si="13"/>
        <v>0.33106288610803103</v>
      </c>
      <c r="I178">
        <f t="shared" si="14"/>
        <v>95</v>
      </c>
    </row>
    <row r="179" spans="1:9" x14ac:dyDescent="0.45">
      <c r="A179">
        <v>19</v>
      </c>
      <c r="B179">
        <v>450</v>
      </c>
      <c r="C179">
        <v>2</v>
      </c>
      <c r="D179">
        <f t="shared" si="10"/>
        <v>450</v>
      </c>
      <c r="E179">
        <f t="shared" si="11"/>
        <v>19</v>
      </c>
      <c r="F179" s="1">
        <f>INDEX('App-Click Conversion by Rank'!$K$12:$S$31,MATCH(E179,'App-Click Conversion by Rank'!$J$12:$J$31,0),MATCH(D179,'App-Click Conversion by Rank'!$K$11:$S$11,0))</f>
        <v>2.8593709383935534E-3</v>
      </c>
      <c r="G179" s="3">
        <f t="shared" si="12"/>
        <v>5.7187418767871067E-3</v>
      </c>
      <c r="H179" s="5">
        <f t="shared" si="13"/>
        <v>0.10865609565895502</v>
      </c>
      <c r="I179">
        <f t="shared" si="14"/>
        <v>38</v>
      </c>
    </row>
    <row r="180" spans="1:9" x14ac:dyDescent="0.45">
      <c r="A180">
        <v>7</v>
      </c>
      <c r="B180">
        <v>300</v>
      </c>
      <c r="C180">
        <v>29</v>
      </c>
      <c r="D180">
        <f t="shared" si="10"/>
        <v>300</v>
      </c>
      <c r="E180">
        <f t="shared" si="11"/>
        <v>7</v>
      </c>
      <c r="F180" s="1">
        <f>INDEX('App-Click Conversion by Rank'!$K$12:$S$31,MATCH(E180,'App-Click Conversion by Rank'!$J$12:$J$31,0),MATCH(D180,'App-Click Conversion by Rank'!$K$11:$S$11,0))</f>
        <v>3.3102386451116246E-2</v>
      </c>
      <c r="G180" s="3">
        <f t="shared" si="12"/>
        <v>0.9599692070823711</v>
      </c>
      <c r="H180" s="5">
        <f t="shared" si="13"/>
        <v>6.7197844495765979</v>
      </c>
      <c r="I180">
        <f t="shared" si="14"/>
        <v>203</v>
      </c>
    </row>
    <row r="181" spans="1:9" x14ac:dyDescent="0.45">
      <c r="A181">
        <v>5</v>
      </c>
      <c r="B181">
        <v>450</v>
      </c>
      <c r="C181">
        <v>498</v>
      </c>
      <c r="D181">
        <f t="shared" si="10"/>
        <v>450</v>
      </c>
      <c r="E181">
        <f t="shared" si="11"/>
        <v>5</v>
      </c>
      <c r="F181" s="1">
        <f>INDEX('App-Click Conversion by Rank'!$K$12:$S$31,MATCH(E181,'App-Click Conversion by Rank'!$J$12:$J$31,0),MATCH(D181,'App-Click Conversion by Rank'!$K$11:$S$11,0))</f>
        <v>2.576881001580163E-2</v>
      </c>
      <c r="G181" s="3">
        <f t="shared" si="12"/>
        <v>12.832867387869213</v>
      </c>
      <c r="H181" s="5">
        <f t="shared" si="13"/>
        <v>64.164336939346057</v>
      </c>
      <c r="I181">
        <f t="shared" si="14"/>
        <v>2490</v>
      </c>
    </row>
    <row r="182" spans="1:9" x14ac:dyDescent="0.45">
      <c r="A182">
        <v>2</v>
      </c>
      <c r="B182">
        <v>300</v>
      </c>
      <c r="C182">
        <v>106</v>
      </c>
      <c r="D182">
        <f t="shared" si="10"/>
        <v>300</v>
      </c>
      <c r="E182">
        <f t="shared" si="11"/>
        <v>2</v>
      </c>
      <c r="F182" s="1">
        <f>INDEX('App-Click Conversion by Rank'!$K$12:$S$31,MATCH(E182,'App-Click Conversion by Rank'!$J$12:$J$31,0),MATCH(D182,'App-Click Conversion by Rank'!$K$11:$S$11,0))</f>
        <v>0.11406010089932003</v>
      </c>
      <c r="G182" s="3">
        <f t="shared" si="12"/>
        <v>12.090370695327923</v>
      </c>
      <c r="H182" s="5">
        <f t="shared" si="13"/>
        <v>24.180741390655847</v>
      </c>
      <c r="I182">
        <f t="shared" si="14"/>
        <v>212</v>
      </c>
    </row>
    <row r="183" spans="1:9" x14ac:dyDescent="0.45">
      <c r="A183">
        <v>4</v>
      </c>
      <c r="B183">
        <v>350</v>
      </c>
      <c r="C183">
        <v>197</v>
      </c>
      <c r="D183">
        <f t="shared" si="10"/>
        <v>350</v>
      </c>
      <c r="E183">
        <f t="shared" si="11"/>
        <v>4</v>
      </c>
      <c r="F183" s="1">
        <f>INDEX('App-Click Conversion by Rank'!$K$12:$S$31,MATCH(E183,'App-Click Conversion by Rank'!$J$12:$J$31,0),MATCH(D183,'App-Click Conversion by Rank'!$K$11:$S$11,0))</f>
        <v>5.6047851129818346E-2</v>
      </c>
      <c r="G183" s="3">
        <f t="shared" si="12"/>
        <v>11.041426672574215</v>
      </c>
      <c r="H183" s="5">
        <f t="shared" si="13"/>
        <v>44.165706690296858</v>
      </c>
      <c r="I183">
        <f t="shared" si="14"/>
        <v>788</v>
      </c>
    </row>
    <row r="184" spans="1:9" x14ac:dyDescent="0.45">
      <c r="A184">
        <v>4</v>
      </c>
      <c r="B184">
        <v>300</v>
      </c>
      <c r="C184">
        <v>67</v>
      </c>
      <c r="D184">
        <f t="shared" si="10"/>
        <v>300</v>
      </c>
      <c r="E184">
        <f t="shared" si="11"/>
        <v>4</v>
      </c>
      <c r="F184" s="1">
        <f>INDEX('App-Click Conversion by Rank'!$K$12:$S$31,MATCH(E184,'App-Click Conversion by Rank'!$J$12:$J$31,0),MATCH(D184,'App-Click Conversion by Rank'!$K$11:$S$11,0))</f>
        <v>5.5850234009360372E-2</v>
      </c>
      <c r="G184" s="3">
        <f t="shared" si="12"/>
        <v>3.7419656786271451</v>
      </c>
      <c r="H184" s="5">
        <f t="shared" si="13"/>
        <v>14.967862714508581</v>
      </c>
      <c r="I184">
        <f t="shared" si="14"/>
        <v>268</v>
      </c>
    </row>
    <row r="185" spans="1:9" x14ac:dyDescent="0.45">
      <c r="A185">
        <v>4</v>
      </c>
      <c r="B185">
        <v>450</v>
      </c>
      <c r="C185">
        <v>363</v>
      </c>
      <c r="D185">
        <f t="shared" si="10"/>
        <v>450</v>
      </c>
      <c r="E185">
        <f t="shared" si="11"/>
        <v>4</v>
      </c>
      <c r="F185" s="1">
        <f>INDEX('App-Click Conversion by Rank'!$K$12:$S$31,MATCH(E185,'App-Click Conversion by Rank'!$J$12:$J$31,0),MATCH(D185,'App-Click Conversion by Rank'!$K$11:$S$11,0))</f>
        <v>3.7920850561134083E-2</v>
      </c>
      <c r="G185" s="3">
        <f t="shared" si="12"/>
        <v>13.765268753691672</v>
      </c>
      <c r="H185" s="5">
        <f t="shared" si="13"/>
        <v>55.061075014766686</v>
      </c>
      <c r="I185">
        <f t="shared" si="14"/>
        <v>1452</v>
      </c>
    </row>
    <row r="186" spans="1:9" x14ac:dyDescent="0.45">
      <c r="A186">
        <v>5</v>
      </c>
      <c r="B186">
        <v>550</v>
      </c>
      <c r="C186">
        <v>131</v>
      </c>
      <c r="D186" t="str">
        <f t="shared" si="10"/>
        <v>501+</v>
      </c>
      <c r="E186">
        <f t="shared" si="11"/>
        <v>5</v>
      </c>
      <c r="F186" s="1">
        <f>INDEX('App-Click Conversion by Rank'!$K$12:$S$31,MATCH(E186,'App-Click Conversion by Rank'!$J$12:$J$31,0),MATCH(D186,'App-Click Conversion by Rank'!$K$11:$S$11,0))</f>
        <v>2.0504113882721692E-2</v>
      </c>
      <c r="G186" s="3">
        <f t="shared" si="12"/>
        <v>2.6860389186365414</v>
      </c>
      <c r="H186" s="5">
        <f t="shared" si="13"/>
        <v>13.430194593182707</v>
      </c>
      <c r="I186">
        <f t="shared" si="14"/>
        <v>655</v>
      </c>
    </row>
    <row r="187" spans="1:9" x14ac:dyDescent="0.45">
      <c r="A187">
        <v>1</v>
      </c>
      <c r="B187">
        <v>450</v>
      </c>
      <c r="C187">
        <v>13</v>
      </c>
      <c r="D187">
        <f t="shared" si="10"/>
        <v>450</v>
      </c>
      <c r="E187">
        <f t="shared" si="11"/>
        <v>1</v>
      </c>
      <c r="F187" s="1">
        <f>INDEX('App-Click Conversion by Rank'!$K$12:$S$31,MATCH(E187,'App-Click Conversion by Rank'!$J$12:$J$31,0),MATCH(D187,'App-Click Conversion by Rank'!$K$11:$S$11,0))</f>
        <v>0.15592720118052139</v>
      </c>
      <c r="G187" s="3">
        <f t="shared" si="12"/>
        <v>2.027053615346778</v>
      </c>
      <c r="H187" s="5">
        <f t="shared" si="13"/>
        <v>2.027053615346778</v>
      </c>
      <c r="I187">
        <f t="shared" si="14"/>
        <v>13</v>
      </c>
    </row>
    <row r="188" spans="1:9" x14ac:dyDescent="0.45">
      <c r="A188">
        <v>9</v>
      </c>
      <c r="B188">
        <v>350</v>
      </c>
      <c r="C188">
        <v>48</v>
      </c>
      <c r="D188">
        <f t="shared" si="10"/>
        <v>350</v>
      </c>
      <c r="E188">
        <f t="shared" si="11"/>
        <v>9</v>
      </c>
      <c r="F188" s="1">
        <f>INDEX('App-Click Conversion by Rank'!$K$12:$S$31,MATCH(E188,'App-Click Conversion by Rank'!$J$12:$J$31,0),MATCH(D188,'App-Click Conversion by Rank'!$K$11:$S$11,0))</f>
        <v>1.4294996751137101E-2</v>
      </c>
      <c r="G188" s="3">
        <f t="shared" si="12"/>
        <v>0.68615984405458086</v>
      </c>
      <c r="H188" s="5">
        <f t="shared" si="13"/>
        <v>6.1754385964912277</v>
      </c>
      <c r="I188">
        <f t="shared" si="14"/>
        <v>432</v>
      </c>
    </row>
    <row r="189" spans="1:9" x14ac:dyDescent="0.45">
      <c r="A189">
        <v>14</v>
      </c>
      <c r="B189">
        <v>600</v>
      </c>
      <c r="C189">
        <v>32</v>
      </c>
      <c r="D189" t="str">
        <f t="shared" si="10"/>
        <v>501+</v>
      </c>
      <c r="E189">
        <f t="shared" si="11"/>
        <v>14</v>
      </c>
      <c r="F189" s="1">
        <f>INDEX('App-Click Conversion by Rank'!$K$12:$S$31,MATCH(E189,'App-Click Conversion by Rank'!$J$12:$J$31,0),MATCH(D189,'App-Click Conversion by Rank'!$K$11:$S$11,0))</f>
        <v>3.5937500000000002E-3</v>
      </c>
      <c r="G189" s="3">
        <f t="shared" si="12"/>
        <v>0.115</v>
      </c>
      <c r="H189" s="5">
        <f t="shared" si="13"/>
        <v>1.61</v>
      </c>
      <c r="I189">
        <f t="shared" si="14"/>
        <v>448</v>
      </c>
    </row>
    <row r="190" spans="1:9" x14ac:dyDescent="0.45">
      <c r="A190">
        <v>11</v>
      </c>
      <c r="B190">
        <v>350</v>
      </c>
      <c r="C190">
        <v>38</v>
      </c>
      <c r="D190">
        <f t="shared" si="10"/>
        <v>350</v>
      </c>
      <c r="E190">
        <f t="shared" si="11"/>
        <v>11</v>
      </c>
      <c r="F190" s="1">
        <f>INDEX('App-Click Conversion by Rank'!$K$12:$S$31,MATCH(E190,'App-Click Conversion by Rank'!$J$12:$J$31,0),MATCH(D190,'App-Click Conversion by Rank'!$K$11:$S$11,0))</f>
        <v>1.101141924959217E-2</v>
      </c>
      <c r="G190" s="3">
        <f t="shared" si="12"/>
        <v>0.41843393148450242</v>
      </c>
      <c r="H190" s="5">
        <f t="shared" si="13"/>
        <v>4.6027732463295266</v>
      </c>
      <c r="I190">
        <f t="shared" si="14"/>
        <v>418</v>
      </c>
    </row>
    <row r="191" spans="1:9" x14ac:dyDescent="0.45">
      <c r="A191">
        <v>7</v>
      </c>
      <c r="B191">
        <v>350</v>
      </c>
      <c r="C191">
        <v>104</v>
      </c>
      <c r="D191">
        <f t="shared" si="10"/>
        <v>350</v>
      </c>
      <c r="E191">
        <f t="shared" si="11"/>
        <v>7</v>
      </c>
      <c r="F191" s="1">
        <f>INDEX('App-Click Conversion by Rank'!$K$12:$S$31,MATCH(E191,'App-Click Conversion by Rank'!$J$12:$J$31,0),MATCH(D191,'App-Click Conversion by Rank'!$K$11:$S$11,0))</f>
        <v>2.2263450834879406E-2</v>
      </c>
      <c r="G191" s="3">
        <f t="shared" si="12"/>
        <v>2.3153988868274582</v>
      </c>
      <c r="H191" s="5">
        <f t="shared" si="13"/>
        <v>16.207792207792206</v>
      </c>
      <c r="I191">
        <f t="shared" si="14"/>
        <v>728</v>
      </c>
    </row>
    <row r="192" spans="1:9" x14ac:dyDescent="0.45">
      <c r="A192">
        <v>6</v>
      </c>
      <c r="B192">
        <v>300</v>
      </c>
      <c r="C192">
        <v>136</v>
      </c>
      <c r="D192">
        <f t="shared" si="10"/>
        <v>300</v>
      </c>
      <c r="E192">
        <f t="shared" si="11"/>
        <v>6</v>
      </c>
      <c r="F192" s="1">
        <f>INDEX('App-Click Conversion by Rank'!$K$12:$S$31,MATCH(E192,'App-Click Conversion by Rank'!$J$12:$J$31,0),MATCH(D192,'App-Click Conversion by Rank'!$K$11:$S$11,0))</f>
        <v>3.6284470246734396E-2</v>
      </c>
      <c r="G192" s="3">
        <f t="shared" si="12"/>
        <v>4.9346879535558781</v>
      </c>
      <c r="H192" s="5">
        <f t="shared" si="13"/>
        <v>29.608127721335268</v>
      </c>
      <c r="I192">
        <f t="shared" si="14"/>
        <v>816</v>
      </c>
    </row>
    <row r="193" spans="1:9" x14ac:dyDescent="0.45">
      <c r="A193">
        <v>30</v>
      </c>
      <c r="B193">
        <v>550</v>
      </c>
      <c r="C193">
        <v>2</v>
      </c>
      <c r="D193" t="str">
        <f t="shared" si="10"/>
        <v>501+</v>
      </c>
      <c r="E193" t="str">
        <f t="shared" si="11"/>
        <v>20+</v>
      </c>
      <c r="F193" s="1">
        <f>INDEX('App-Click Conversion by Rank'!$K$12:$S$31,MATCH(E193,'App-Click Conversion by Rank'!$J$12:$J$31,0),MATCH(D193,'App-Click Conversion by Rank'!$K$11:$S$11,0))</f>
        <v>5.9893958237873931E-3</v>
      </c>
      <c r="G193" s="3">
        <f t="shared" si="12"/>
        <v>1.1978791647574786E-2</v>
      </c>
      <c r="H193" s="5">
        <f t="shared" si="13"/>
        <v>0.35936374942724358</v>
      </c>
      <c r="I193">
        <f t="shared" si="14"/>
        <v>60</v>
      </c>
    </row>
    <row r="194" spans="1:9" x14ac:dyDescent="0.45">
      <c r="A194">
        <v>15</v>
      </c>
      <c r="B194">
        <v>500</v>
      </c>
      <c r="C194">
        <v>27</v>
      </c>
      <c r="D194">
        <f t="shared" si="10"/>
        <v>500</v>
      </c>
      <c r="E194">
        <f t="shared" si="11"/>
        <v>15</v>
      </c>
      <c r="F194" s="1">
        <f>INDEX('App-Click Conversion by Rank'!$K$12:$S$31,MATCH(E194,'App-Click Conversion by Rank'!$J$12:$J$31,0),MATCH(D194,'App-Click Conversion by Rank'!$K$11:$S$11,0))</f>
        <v>4.7119009154550353E-3</v>
      </c>
      <c r="G194" s="3">
        <f t="shared" si="12"/>
        <v>0.12722132471728595</v>
      </c>
      <c r="H194" s="5">
        <f t="shared" si="13"/>
        <v>1.9083198707592892</v>
      </c>
      <c r="I194">
        <f t="shared" si="14"/>
        <v>405</v>
      </c>
    </row>
    <row r="195" spans="1:9" x14ac:dyDescent="0.45">
      <c r="A195">
        <v>9</v>
      </c>
      <c r="B195">
        <v>300</v>
      </c>
      <c r="C195">
        <v>27</v>
      </c>
      <c r="D195">
        <f t="shared" ref="D195:D258" si="15">IF(B195&lt;=150,"&lt;=150",IF(B195&gt;500,"501+",B195))</f>
        <v>300</v>
      </c>
      <c r="E195">
        <f t="shared" ref="E195:E258" si="16">IF(A195&gt;=20,"20+",A195)</f>
        <v>9</v>
      </c>
      <c r="F195" s="1">
        <f>INDEX('App-Click Conversion by Rank'!$K$12:$S$31,MATCH(E195,'App-Click Conversion by Rank'!$J$12:$J$31,0),MATCH(D195,'App-Click Conversion by Rank'!$K$11:$S$11,0))</f>
        <v>2.0078354554358472E-2</v>
      </c>
      <c r="G195" s="3">
        <f t="shared" ref="G195:G258" si="17">C195*F195</f>
        <v>0.54211557296767876</v>
      </c>
      <c r="H195" s="5">
        <f t="shared" ref="H195:H258" si="18">G195*A195</f>
        <v>4.8790401567091086</v>
      </c>
      <c r="I195">
        <f t="shared" ref="I195:I258" si="19">C195*A195</f>
        <v>243</v>
      </c>
    </row>
    <row r="196" spans="1:9" x14ac:dyDescent="0.45">
      <c r="A196">
        <v>15</v>
      </c>
      <c r="B196">
        <v>450</v>
      </c>
      <c r="C196">
        <v>6</v>
      </c>
      <c r="D196">
        <f t="shared" si="15"/>
        <v>450</v>
      </c>
      <c r="E196">
        <f t="shared" si="16"/>
        <v>15</v>
      </c>
      <c r="F196" s="1">
        <f>INDEX('App-Click Conversion by Rank'!$K$12:$S$31,MATCH(E196,'App-Click Conversion by Rank'!$J$12:$J$31,0),MATCH(D196,'App-Click Conversion by Rank'!$K$11:$S$11,0))</f>
        <v>3.0599755201958386E-3</v>
      </c>
      <c r="G196" s="3">
        <f t="shared" si="17"/>
        <v>1.8359853121175031E-2</v>
      </c>
      <c r="H196" s="5">
        <f t="shared" si="18"/>
        <v>0.27539779681762544</v>
      </c>
      <c r="I196">
        <f t="shared" si="19"/>
        <v>90</v>
      </c>
    </row>
    <row r="197" spans="1:9" x14ac:dyDescent="0.45">
      <c r="A197">
        <v>17</v>
      </c>
      <c r="B197">
        <v>400</v>
      </c>
      <c r="C197">
        <v>6</v>
      </c>
      <c r="D197">
        <f t="shared" si="15"/>
        <v>400</v>
      </c>
      <c r="E197">
        <f t="shared" si="16"/>
        <v>17</v>
      </c>
      <c r="F197" s="1">
        <f>INDEX('App-Click Conversion by Rank'!$K$12:$S$31,MATCH(E197,'App-Click Conversion by Rank'!$J$12:$J$31,0),MATCH(D197,'App-Click Conversion by Rank'!$K$11:$S$11,0))</f>
        <v>4.7598442232799658E-3</v>
      </c>
      <c r="G197" s="3">
        <f t="shared" si="17"/>
        <v>2.8559065339679793E-2</v>
      </c>
      <c r="H197" s="5">
        <f t="shared" si="18"/>
        <v>0.48550411077455646</v>
      </c>
      <c r="I197">
        <f t="shared" si="19"/>
        <v>102</v>
      </c>
    </row>
    <row r="198" spans="1:9" x14ac:dyDescent="0.45">
      <c r="A198">
        <v>10</v>
      </c>
      <c r="B198">
        <v>200</v>
      </c>
      <c r="C198">
        <v>2</v>
      </c>
      <c r="D198">
        <f t="shared" si="15"/>
        <v>200</v>
      </c>
      <c r="E198">
        <f t="shared" si="16"/>
        <v>10</v>
      </c>
      <c r="F198" s="1">
        <f>INDEX('App-Click Conversion by Rank'!$K$12:$S$31,MATCH(E198,'App-Click Conversion by Rank'!$J$12:$J$31,0),MATCH(D198,'App-Click Conversion by Rank'!$K$11:$S$11,0))</f>
        <v>1.7361111111111112E-2</v>
      </c>
      <c r="G198" s="3">
        <f t="shared" si="17"/>
        <v>3.4722222222222224E-2</v>
      </c>
      <c r="H198" s="5">
        <f t="shared" si="18"/>
        <v>0.34722222222222221</v>
      </c>
      <c r="I198">
        <f t="shared" si="19"/>
        <v>20</v>
      </c>
    </row>
    <row r="199" spans="1:9" x14ac:dyDescent="0.45">
      <c r="A199">
        <v>15</v>
      </c>
      <c r="B199">
        <v>550</v>
      </c>
      <c r="C199">
        <v>15</v>
      </c>
      <c r="D199" t="str">
        <f t="shared" si="15"/>
        <v>501+</v>
      </c>
      <c r="E199">
        <f t="shared" si="16"/>
        <v>15</v>
      </c>
      <c r="F199" s="1">
        <f>INDEX('App-Click Conversion by Rank'!$K$12:$S$31,MATCH(E199,'App-Click Conversion by Rank'!$J$12:$J$31,0),MATCH(D199,'App-Click Conversion by Rank'!$K$11:$S$11,0))</f>
        <v>3.3794657225619568E-3</v>
      </c>
      <c r="G199" s="3">
        <f t="shared" si="17"/>
        <v>5.0691985838429349E-2</v>
      </c>
      <c r="H199" s="5">
        <f t="shared" si="18"/>
        <v>0.7603797875764402</v>
      </c>
      <c r="I199">
        <f t="shared" si="19"/>
        <v>225</v>
      </c>
    </row>
    <row r="200" spans="1:9" x14ac:dyDescent="0.45">
      <c r="A200">
        <v>3</v>
      </c>
      <c r="B200">
        <v>100</v>
      </c>
      <c r="C200">
        <v>1</v>
      </c>
      <c r="D200" t="str">
        <f t="shared" si="15"/>
        <v>&lt;=150</v>
      </c>
      <c r="E200">
        <f t="shared" si="16"/>
        <v>3</v>
      </c>
      <c r="F200" s="1">
        <f>INDEX('App-Click Conversion by Rank'!$K$12:$S$31,MATCH(E200,'App-Click Conversion by Rank'!$J$12:$J$31,0),MATCH(D200,'App-Click Conversion by Rank'!$K$11:$S$11,0))</f>
        <v>9.8360655737704916E-2</v>
      </c>
      <c r="G200" s="3">
        <f t="shared" si="17"/>
        <v>9.8360655737704916E-2</v>
      </c>
      <c r="H200" s="5">
        <f t="shared" si="18"/>
        <v>0.29508196721311475</v>
      </c>
      <c r="I200">
        <f t="shared" si="19"/>
        <v>3</v>
      </c>
    </row>
    <row r="201" spans="1:9" x14ac:dyDescent="0.45">
      <c r="A201">
        <v>14</v>
      </c>
      <c r="B201">
        <v>650</v>
      </c>
      <c r="C201">
        <v>2</v>
      </c>
      <c r="D201" t="str">
        <f t="shared" si="15"/>
        <v>501+</v>
      </c>
      <c r="E201">
        <f t="shared" si="16"/>
        <v>14</v>
      </c>
      <c r="F201" s="1">
        <f>INDEX('App-Click Conversion by Rank'!$K$12:$S$31,MATCH(E201,'App-Click Conversion by Rank'!$J$12:$J$31,0),MATCH(D201,'App-Click Conversion by Rank'!$K$11:$S$11,0))</f>
        <v>3.5937500000000002E-3</v>
      </c>
      <c r="G201" s="3">
        <f t="shared" si="17"/>
        <v>7.1875000000000003E-3</v>
      </c>
      <c r="H201" s="5">
        <f t="shared" si="18"/>
        <v>0.10062500000000001</v>
      </c>
      <c r="I201">
        <f t="shared" si="19"/>
        <v>28</v>
      </c>
    </row>
    <row r="202" spans="1:9" x14ac:dyDescent="0.45">
      <c r="A202">
        <v>13</v>
      </c>
      <c r="B202">
        <v>250</v>
      </c>
      <c r="C202">
        <v>2</v>
      </c>
      <c r="D202">
        <f t="shared" si="15"/>
        <v>250</v>
      </c>
      <c r="E202">
        <f t="shared" si="16"/>
        <v>13</v>
      </c>
      <c r="F202" s="1">
        <f>INDEX('App-Click Conversion by Rank'!$K$12:$S$31,MATCH(E202,'App-Click Conversion by Rank'!$J$12:$J$31,0),MATCH(D202,'App-Click Conversion by Rank'!$K$11:$S$11,0))</f>
        <v>1.201923076923077E-2</v>
      </c>
      <c r="G202" s="3">
        <f t="shared" si="17"/>
        <v>2.403846153846154E-2</v>
      </c>
      <c r="H202" s="5">
        <f t="shared" si="18"/>
        <v>0.3125</v>
      </c>
      <c r="I202">
        <f t="shared" si="19"/>
        <v>26</v>
      </c>
    </row>
    <row r="203" spans="1:9" x14ac:dyDescent="0.45">
      <c r="A203">
        <v>27</v>
      </c>
      <c r="B203">
        <v>400</v>
      </c>
      <c r="C203">
        <v>1</v>
      </c>
      <c r="D203">
        <f t="shared" si="15"/>
        <v>400</v>
      </c>
      <c r="E203" t="str">
        <f t="shared" si="16"/>
        <v>20+</v>
      </c>
      <c r="F203" s="1">
        <f>INDEX('App-Click Conversion by Rank'!$K$12:$S$31,MATCH(E203,'App-Click Conversion by Rank'!$J$12:$J$31,0),MATCH(D203,'App-Click Conversion by Rank'!$K$11:$S$11,0))</f>
        <v>6.4196625091709463E-3</v>
      </c>
      <c r="G203" s="3">
        <f t="shared" si="17"/>
        <v>6.4196625091709463E-3</v>
      </c>
      <c r="H203" s="5">
        <f t="shared" si="18"/>
        <v>0.17333088774761554</v>
      </c>
      <c r="I203">
        <f t="shared" si="19"/>
        <v>27</v>
      </c>
    </row>
    <row r="204" spans="1:9" x14ac:dyDescent="0.45">
      <c r="A204">
        <v>34</v>
      </c>
      <c r="B204">
        <v>600</v>
      </c>
      <c r="C204">
        <v>1</v>
      </c>
      <c r="D204" t="str">
        <f t="shared" si="15"/>
        <v>501+</v>
      </c>
      <c r="E204" t="str">
        <f t="shared" si="16"/>
        <v>20+</v>
      </c>
      <c r="F204" s="1">
        <f>INDEX('App-Click Conversion by Rank'!$K$12:$S$31,MATCH(E204,'App-Click Conversion by Rank'!$J$12:$J$31,0),MATCH(D204,'App-Click Conversion by Rank'!$K$11:$S$11,0))</f>
        <v>5.9893958237873931E-3</v>
      </c>
      <c r="G204" s="3">
        <f t="shared" si="17"/>
        <v>5.9893958237873931E-3</v>
      </c>
      <c r="H204" s="5">
        <f t="shared" si="18"/>
        <v>0.20363945800877137</v>
      </c>
      <c r="I204">
        <f t="shared" si="19"/>
        <v>34</v>
      </c>
    </row>
    <row r="205" spans="1:9" x14ac:dyDescent="0.45">
      <c r="A205">
        <v>5</v>
      </c>
      <c r="B205">
        <v>500</v>
      </c>
      <c r="C205">
        <v>380</v>
      </c>
      <c r="D205">
        <f t="shared" si="15"/>
        <v>500</v>
      </c>
      <c r="E205">
        <f t="shared" si="16"/>
        <v>5</v>
      </c>
      <c r="F205" s="1">
        <f>INDEX('App-Click Conversion by Rank'!$K$12:$S$31,MATCH(E205,'App-Click Conversion by Rank'!$J$12:$J$31,0),MATCH(D205,'App-Click Conversion by Rank'!$K$11:$S$11,0))</f>
        <v>2.3398058252427186E-2</v>
      </c>
      <c r="G205" s="3">
        <f t="shared" si="17"/>
        <v>8.8912621359223305</v>
      </c>
      <c r="H205" s="5">
        <f t="shared" si="18"/>
        <v>44.456310679611654</v>
      </c>
      <c r="I205">
        <f t="shared" si="19"/>
        <v>1900</v>
      </c>
    </row>
    <row r="206" spans="1:9" x14ac:dyDescent="0.45">
      <c r="A206">
        <v>8</v>
      </c>
      <c r="B206">
        <v>450</v>
      </c>
      <c r="C206">
        <v>407</v>
      </c>
      <c r="D206">
        <f t="shared" si="15"/>
        <v>450</v>
      </c>
      <c r="E206">
        <f t="shared" si="16"/>
        <v>8</v>
      </c>
      <c r="F206" s="1">
        <f>INDEX('App-Click Conversion by Rank'!$K$12:$S$31,MATCH(E206,'App-Click Conversion by Rank'!$J$12:$J$31,0),MATCH(D206,'App-Click Conversion by Rank'!$K$11:$S$11,0))</f>
        <v>9.3508605502100554E-3</v>
      </c>
      <c r="G206" s="3">
        <f t="shared" si="17"/>
        <v>3.8058002439354923</v>
      </c>
      <c r="H206" s="5">
        <f t="shared" si="18"/>
        <v>30.446401951483939</v>
      </c>
      <c r="I206">
        <f t="shared" si="19"/>
        <v>3256</v>
      </c>
    </row>
    <row r="207" spans="1:9" x14ac:dyDescent="0.45">
      <c r="A207">
        <v>6</v>
      </c>
      <c r="B207">
        <v>250</v>
      </c>
      <c r="C207">
        <v>42</v>
      </c>
      <c r="D207">
        <f t="shared" si="15"/>
        <v>250</v>
      </c>
      <c r="E207">
        <f t="shared" si="16"/>
        <v>6</v>
      </c>
      <c r="F207" s="1">
        <f>INDEX('App-Click Conversion by Rank'!$K$12:$S$31,MATCH(E207,'App-Click Conversion by Rank'!$J$12:$J$31,0),MATCH(D207,'App-Click Conversion by Rank'!$K$11:$S$11,0))</f>
        <v>4.0523690773067333E-2</v>
      </c>
      <c r="G207" s="3">
        <f t="shared" si="17"/>
        <v>1.7019950124688279</v>
      </c>
      <c r="H207" s="5">
        <f t="shared" si="18"/>
        <v>10.211970074812967</v>
      </c>
      <c r="I207">
        <f t="shared" si="19"/>
        <v>252</v>
      </c>
    </row>
    <row r="208" spans="1:9" x14ac:dyDescent="0.45">
      <c r="A208">
        <v>9</v>
      </c>
      <c r="B208">
        <v>250</v>
      </c>
      <c r="C208">
        <v>16</v>
      </c>
      <c r="D208">
        <f t="shared" si="15"/>
        <v>250</v>
      </c>
      <c r="E208">
        <f t="shared" si="16"/>
        <v>9</v>
      </c>
      <c r="F208" s="1">
        <f>INDEX('App-Click Conversion by Rank'!$K$12:$S$31,MATCH(E208,'App-Click Conversion by Rank'!$J$12:$J$31,0),MATCH(D208,'App-Click Conversion by Rank'!$K$11:$S$11,0))</f>
        <v>1.7475728155339806E-2</v>
      </c>
      <c r="G208" s="3">
        <f t="shared" si="17"/>
        <v>0.2796116504854369</v>
      </c>
      <c r="H208" s="5">
        <f t="shared" si="18"/>
        <v>2.5165048543689323</v>
      </c>
      <c r="I208">
        <f t="shared" si="19"/>
        <v>144</v>
      </c>
    </row>
    <row r="209" spans="1:9" x14ac:dyDescent="0.45">
      <c r="A209">
        <v>25</v>
      </c>
      <c r="B209">
        <v>550</v>
      </c>
      <c r="C209">
        <v>3</v>
      </c>
      <c r="D209" t="str">
        <f t="shared" si="15"/>
        <v>501+</v>
      </c>
      <c r="E209" t="str">
        <f t="shared" si="16"/>
        <v>20+</v>
      </c>
      <c r="F209" s="1">
        <f>INDEX('App-Click Conversion by Rank'!$K$12:$S$31,MATCH(E209,'App-Click Conversion by Rank'!$J$12:$J$31,0),MATCH(D209,'App-Click Conversion by Rank'!$K$11:$S$11,0))</f>
        <v>5.9893958237873931E-3</v>
      </c>
      <c r="G209" s="3">
        <f t="shared" si="17"/>
        <v>1.7968187471362179E-2</v>
      </c>
      <c r="H209" s="5">
        <f t="shared" si="18"/>
        <v>0.44920468678405445</v>
      </c>
      <c r="I209">
        <f t="shared" si="19"/>
        <v>75</v>
      </c>
    </row>
    <row r="210" spans="1:9" x14ac:dyDescent="0.45">
      <c r="A210">
        <v>14</v>
      </c>
      <c r="B210">
        <v>350</v>
      </c>
      <c r="C210">
        <v>2</v>
      </c>
      <c r="D210">
        <f t="shared" si="15"/>
        <v>350</v>
      </c>
      <c r="E210">
        <f t="shared" si="16"/>
        <v>14</v>
      </c>
      <c r="F210" s="1">
        <f>INDEX('App-Click Conversion by Rank'!$K$12:$S$31,MATCH(E210,'App-Click Conversion by Rank'!$J$12:$J$31,0),MATCH(D210,'App-Click Conversion by Rank'!$K$11:$S$11,0))</f>
        <v>2.4257125530624622E-3</v>
      </c>
      <c r="G210" s="3">
        <f t="shared" si="17"/>
        <v>4.8514251061249243E-3</v>
      </c>
      <c r="H210" s="5">
        <f t="shared" si="18"/>
        <v>6.7919951485748947E-2</v>
      </c>
      <c r="I210">
        <f t="shared" si="19"/>
        <v>28</v>
      </c>
    </row>
    <row r="211" spans="1:9" x14ac:dyDescent="0.45">
      <c r="A211">
        <v>23</v>
      </c>
      <c r="B211">
        <v>550</v>
      </c>
      <c r="C211">
        <v>10</v>
      </c>
      <c r="D211" t="str">
        <f t="shared" si="15"/>
        <v>501+</v>
      </c>
      <c r="E211" t="str">
        <f t="shared" si="16"/>
        <v>20+</v>
      </c>
      <c r="F211" s="1">
        <f>INDEX('App-Click Conversion by Rank'!$K$12:$S$31,MATCH(E211,'App-Click Conversion by Rank'!$J$12:$J$31,0),MATCH(D211,'App-Click Conversion by Rank'!$K$11:$S$11,0))</f>
        <v>5.9893958237873931E-3</v>
      </c>
      <c r="G211" s="3">
        <f t="shared" si="17"/>
        <v>5.9893958237873933E-2</v>
      </c>
      <c r="H211" s="5">
        <f t="shared" si="18"/>
        <v>1.3775610394711004</v>
      </c>
      <c r="I211">
        <f t="shared" si="19"/>
        <v>230</v>
      </c>
    </row>
    <row r="212" spans="1:9" x14ac:dyDescent="0.45">
      <c r="A212">
        <v>1</v>
      </c>
      <c r="B212">
        <v>500</v>
      </c>
      <c r="C212">
        <v>15</v>
      </c>
      <c r="D212">
        <f t="shared" si="15"/>
        <v>500</v>
      </c>
      <c r="E212">
        <f t="shared" si="16"/>
        <v>1</v>
      </c>
      <c r="F212" s="1">
        <f>INDEX('App-Click Conversion by Rank'!$K$12:$S$31,MATCH(E212,'App-Click Conversion by Rank'!$J$12:$J$31,0),MATCH(D212,'App-Click Conversion by Rank'!$K$11:$S$11,0))</f>
        <v>0.14095071958133448</v>
      </c>
      <c r="G212" s="3">
        <f t="shared" si="17"/>
        <v>2.1142607937200171</v>
      </c>
      <c r="H212" s="5">
        <f t="shared" si="18"/>
        <v>2.1142607937200171</v>
      </c>
      <c r="I212">
        <f t="shared" si="19"/>
        <v>15</v>
      </c>
    </row>
    <row r="213" spans="1:9" x14ac:dyDescent="0.45">
      <c r="A213">
        <v>29</v>
      </c>
      <c r="B213">
        <v>500</v>
      </c>
      <c r="C213">
        <v>3</v>
      </c>
      <c r="D213">
        <f t="shared" si="15"/>
        <v>500</v>
      </c>
      <c r="E213" t="str">
        <f t="shared" si="16"/>
        <v>20+</v>
      </c>
      <c r="F213" s="1">
        <f>INDEX('App-Click Conversion by Rank'!$K$12:$S$31,MATCH(E213,'App-Click Conversion by Rank'!$J$12:$J$31,0),MATCH(D213,'App-Click Conversion by Rank'!$K$11:$S$11,0))</f>
        <v>5.1121544079290558E-3</v>
      </c>
      <c r="G213" s="3">
        <f t="shared" si="17"/>
        <v>1.5336463223787167E-2</v>
      </c>
      <c r="H213" s="5">
        <f t="shared" si="18"/>
        <v>0.44475743348982788</v>
      </c>
      <c r="I213">
        <f t="shared" si="19"/>
        <v>87</v>
      </c>
    </row>
    <row r="214" spans="1:9" x14ac:dyDescent="0.45">
      <c r="A214">
        <v>26</v>
      </c>
      <c r="B214">
        <v>350</v>
      </c>
      <c r="C214">
        <v>1</v>
      </c>
      <c r="D214">
        <f t="shared" si="15"/>
        <v>350</v>
      </c>
      <c r="E214" t="str">
        <f t="shared" si="16"/>
        <v>20+</v>
      </c>
      <c r="F214" s="1">
        <f>INDEX('App-Click Conversion by Rank'!$K$12:$S$31,MATCH(E214,'App-Click Conversion by Rank'!$J$12:$J$31,0),MATCH(D214,'App-Click Conversion by Rank'!$K$11:$S$11,0))</f>
        <v>4.1279669762641896E-3</v>
      </c>
      <c r="G214" s="3">
        <f t="shared" si="17"/>
        <v>4.1279669762641896E-3</v>
      </c>
      <c r="H214" s="5">
        <f t="shared" si="18"/>
        <v>0.10732714138286893</v>
      </c>
      <c r="I214">
        <f t="shared" si="19"/>
        <v>26</v>
      </c>
    </row>
    <row r="215" spans="1:9" x14ac:dyDescent="0.45">
      <c r="A215">
        <v>3</v>
      </c>
      <c r="B215">
        <v>650</v>
      </c>
      <c r="C215">
        <v>1</v>
      </c>
      <c r="D215" t="str">
        <f t="shared" si="15"/>
        <v>501+</v>
      </c>
      <c r="E215">
        <f t="shared" si="16"/>
        <v>3</v>
      </c>
      <c r="F215" s="1">
        <f>INDEX('App-Click Conversion by Rank'!$K$12:$S$31,MATCH(E215,'App-Click Conversion by Rank'!$J$12:$J$31,0),MATCH(D215,'App-Click Conversion by Rank'!$K$11:$S$11,0))</f>
        <v>4.4627885979620793E-2</v>
      </c>
      <c r="G215" s="3">
        <f t="shared" si="17"/>
        <v>4.4627885979620793E-2</v>
      </c>
      <c r="H215" s="5">
        <f t="shared" si="18"/>
        <v>0.13388365793886237</v>
      </c>
      <c r="I215">
        <f t="shared" si="19"/>
        <v>3</v>
      </c>
    </row>
    <row r="216" spans="1:9" x14ac:dyDescent="0.45">
      <c r="A216">
        <v>10</v>
      </c>
      <c r="B216">
        <v>650</v>
      </c>
      <c r="C216">
        <v>3</v>
      </c>
      <c r="D216" t="str">
        <f t="shared" si="15"/>
        <v>501+</v>
      </c>
      <c r="E216">
        <f t="shared" si="16"/>
        <v>10</v>
      </c>
      <c r="F216" s="1">
        <f>INDEX('App-Click Conversion by Rank'!$K$12:$S$31,MATCH(E216,'App-Click Conversion by Rank'!$J$12:$J$31,0),MATCH(D216,'App-Click Conversion by Rank'!$K$11:$S$11,0))</f>
        <v>7.1592210767468497E-3</v>
      </c>
      <c r="G216" s="3">
        <f t="shared" si="17"/>
        <v>2.147766323024055E-2</v>
      </c>
      <c r="H216" s="5">
        <f t="shared" si="18"/>
        <v>0.21477663230240551</v>
      </c>
      <c r="I216">
        <f t="shared" si="19"/>
        <v>30</v>
      </c>
    </row>
    <row r="217" spans="1:9" x14ac:dyDescent="0.45">
      <c r="A217">
        <v>37</v>
      </c>
      <c r="B217">
        <v>550</v>
      </c>
      <c r="C217">
        <v>1</v>
      </c>
      <c r="D217" t="str">
        <f t="shared" si="15"/>
        <v>501+</v>
      </c>
      <c r="E217" t="str">
        <f t="shared" si="16"/>
        <v>20+</v>
      </c>
      <c r="F217" s="1">
        <f>INDEX('App-Click Conversion by Rank'!$K$12:$S$31,MATCH(E217,'App-Click Conversion by Rank'!$J$12:$J$31,0),MATCH(D217,'App-Click Conversion by Rank'!$K$11:$S$11,0))</f>
        <v>5.9893958237873931E-3</v>
      </c>
      <c r="G217" s="3">
        <f t="shared" si="17"/>
        <v>5.9893958237873931E-3</v>
      </c>
      <c r="H217" s="5">
        <f t="shared" si="18"/>
        <v>0.22160764548013354</v>
      </c>
      <c r="I217">
        <f t="shared" si="19"/>
        <v>37</v>
      </c>
    </row>
    <row r="218" spans="1:9" x14ac:dyDescent="0.45">
      <c r="A218">
        <v>22</v>
      </c>
      <c r="B218">
        <v>550</v>
      </c>
      <c r="C218">
        <v>4</v>
      </c>
      <c r="D218" t="str">
        <f t="shared" si="15"/>
        <v>501+</v>
      </c>
      <c r="E218" t="str">
        <f t="shared" si="16"/>
        <v>20+</v>
      </c>
      <c r="F218" s="1">
        <f>INDEX('App-Click Conversion by Rank'!$K$12:$S$31,MATCH(E218,'App-Click Conversion by Rank'!$J$12:$J$31,0),MATCH(D218,'App-Click Conversion by Rank'!$K$11:$S$11,0))</f>
        <v>5.9893958237873931E-3</v>
      </c>
      <c r="G218" s="3">
        <f t="shared" si="17"/>
        <v>2.3957583295149572E-2</v>
      </c>
      <c r="H218" s="5">
        <f t="shared" si="18"/>
        <v>0.52706683249329056</v>
      </c>
      <c r="I218">
        <f t="shared" si="19"/>
        <v>88</v>
      </c>
    </row>
    <row r="219" spans="1:9" x14ac:dyDescent="0.45">
      <c r="A219">
        <v>27</v>
      </c>
      <c r="B219">
        <v>600</v>
      </c>
      <c r="C219">
        <v>2</v>
      </c>
      <c r="D219" t="str">
        <f t="shared" si="15"/>
        <v>501+</v>
      </c>
      <c r="E219" t="str">
        <f t="shared" si="16"/>
        <v>20+</v>
      </c>
      <c r="F219" s="1">
        <f>INDEX('App-Click Conversion by Rank'!$K$12:$S$31,MATCH(E219,'App-Click Conversion by Rank'!$J$12:$J$31,0),MATCH(D219,'App-Click Conversion by Rank'!$K$11:$S$11,0))</f>
        <v>5.9893958237873931E-3</v>
      </c>
      <c r="G219" s="3">
        <f t="shared" si="17"/>
        <v>1.1978791647574786E-2</v>
      </c>
      <c r="H219" s="5">
        <f t="shared" si="18"/>
        <v>0.32342737448451925</v>
      </c>
      <c r="I219">
        <f t="shared" si="19"/>
        <v>54</v>
      </c>
    </row>
    <row r="220" spans="1:9" x14ac:dyDescent="0.45">
      <c r="A220">
        <v>16</v>
      </c>
      <c r="B220">
        <v>300</v>
      </c>
      <c r="C220">
        <v>1</v>
      </c>
      <c r="D220">
        <f t="shared" si="15"/>
        <v>300</v>
      </c>
      <c r="E220">
        <f t="shared" si="16"/>
        <v>16</v>
      </c>
      <c r="F220" s="1">
        <f>INDEX('App-Click Conversion by Rank'!$K$12:$S$31,MATCH(E220,'App-Click Conversion by Rank'!$J$12:$J$31,0),MATCH(D220,'App-Click Conversion by Rank'!$K$11:$S$11,0))</f>
        <v>1.3412816691505217E-2</v>
      </c>
      <c r="G220" s="3">
        <f t="shared" si="17"/>
        <v>1.3412816691505217E-2</v>
      </c>
      <c r="H220" s="5">
        <f t="shared" si="18"/>
        <v>0.21460506706408347</v>
      </c>
      <c r="I220">
        <f t="shared" si="19"/>
        <v>16</v>
      </c>
    </row>
    <row r="221" spans="1:9" x14ac:dyDescent="0.45">
      <c r="A221">
        <v>24</v>
      </c>
      <c r="B221">
        <v>600</v>
      </c>
      <c r="C221">
        <v>1</v>
      </c>
      <c r="D221" t="str">
        <f t="shared" si="15"/>
        <v>501+</v>
      </c>
      <c r="E221" t="str">
        <f t="shared" si="16"/>
        <v>20+</v>
      </c>
      <c r="F221" s="1">
        <f>INDEX('App-Click Conversion by Rank'!$K$12:$S$31,MATCH(E221,'App-Click Conversion by Rank'!$J$12:$J$31,0),MATCH(D221,'App-Click Conversion by Rank'!$K$11:$S$11,0))</f>
        <v>5.9893958237873931E-3</v>
      </c>
      <c r="G221" s="3">
        <f t="shared" si="17"/>
        <v>5.9893958237873931E-3</v>
      </c>
      <c r="H221" s="5">
        <f t="shared" si="18"/>
        <v>0.14374549977089743</v>
      </c>
      <c r="I221">
        <f t="shared" si="19"/>
        <v>24</v>
      </c>
    </row>
    <row r="222" spans="1:9" x14ac:dyDescent="0.45">
      <c r="A222">
        <v>33</v>
      </c>
      <c r="B222">
        <v>500</v>
      </c>
      <c r="C222">
        <v>1</v>
      </c>
      <c r="D222">
        <f t="shared" si="15"/>
        <v>500</v>
      </c>
      <c r="E222" t="str">
        <f t="shared" si="16"/>
        <v>20+</v>
      </c>
      <c r="F222" s="1">
        <f>INDEX('App-Click Conversion by Rank'!$K$12:$S$31,MATCH(E222,'App-Click Conversion by Rank'!$J$12:$J$31,0),MATCH(D222,'App-Click Conversion by Rank'!$K$11:$S$11,0))</f>
        <v>5.1121544079290558E-3</v>
      </c>
      <c r="G222" s="3">
        <f t="shared" si="17"/>
        <v>5.1121544079290558E-3</v>
      </c>
      <c r="H222" s="5">
        <f t="shared" si="18"/>
        <v>0.16870109546165885</v>
      </c>
      <c r="I222">
        <f t="shared" si="19"/>
        <v>33</v>
      </c>
    </row>
    <row r="223" spans="1:9" x14ac:dyDescent="0.45">
      <c r="G223" s="3"/>
      <c r="H223" s="5"/>
    </row>
    <row r="224" spans="1:9" x14ac:dyDescent="0.45">
      <c r="G224" s="3"/>
      <c r="H224" s="5"/>
    </row>
    <row r="225" spans="7:8" x14ac:dyDescent="0.45">
      <c r="G225" s="3"/>
      <c r="H225" s="5"/>
    </row>
    <row r="226" spans="7:8" x14ac:dyDescent="0.45">
      <c r="G226" s="3"/>
      <c r="H226" s="5"/>
    </row>
    <row r="227" spans="7:8" x14ac:dyDescent="0.45">
      <c r="G227" s="3"/>
      <c r="H227" s="5"/>
    </row>
    <row r="228" spans="7:8" x14ac:dyDescent="0.45">
      <c r="G228" s="3"/>
      <c r="H228" s="5"/>
    </row>
    <row r="229" spans="7:8" x14ac:dyDescent="0.45">
      <c r="G229" s="3"/>
      <c r="H229" s="5"/>
    </row>
    <row r="230" spans="7:8" x14ac:dyDescent="0.45">
      <c r="G230" s="3"/>
      <c r="H230" s="5"/>
    </row>
    <row r="231" spans="7:8" x14ac:dyDescent="0.45">
      <c r="G231" s="3"/>
      <c r="H231" s="5"/>
    </row>
    <row r="232" spans="7:8" x14ac:dyDescent="0.45">
      <c r="G232" s="3"/>
      <c r="H232" s="5"/>
    </row>
    <row r="233" spans="7:8" x14ac:dyDescent="0.45">
      <c r="G233" s="3"/>
      <c r="H233" s="5"/>
    </row>
    <row r="234" spans="7:8" x14ac:dyDescent="0.45">
      <c r="G234" s="3"/>
      <c r="H234" s="5"/>
    </row>
    <row r="235" spans="7:8" x14ac:dyDescent="0.45">
      <c r="G235" s="3"/>
      <c r="H235" s="5"/>
    </row>
    <row r="236" spans="7:8" x14ac:dyDescent="0.45">
      <c r="G236" s="3"/>
      <c r="H236" s="5"/>
    </row>
    <row r="237" spans="7:8" x14ac:dyDescent="0.45">
      <c r="G237" s="3"/>
      <c r="H237" s="5"/>
    </row>
    <row r="238" spans="7:8" x14ac:dyDescent="0.45">
      <c r="G238" s="3"/>
      <c r="H238" s="5"/>
    </row>
    <row r="239" spans="7:8" x14ac:dyDescent="0.45">
      <c r="G239" s="3"/>
      <c r="H239" s="5"/>
    </row>
    <row r="240" spans="7:8" x14ac:dyDescent="0.45">
      <c r="G240" s="3"/>
      <c r="H240" s="5"/>
    </row>
    <row r="241" spans="7:8" x14ac:dyDescent="0.45">
      <c r="G241" s="3"/>
      <c r="H241" s="5"/>
    </row>
    <row r="242" spans="7:8" x14ac:dyDescent="0.45">
      <c r="G242" s="3"/>
      <c r="H242" s="5"/>
    </row>
    <row r="243" spans="7:8" x14ac:dyDescent="0.45">
      <c r="G243" s="3"/>
      <c r="H243" s="5"/>
    </row>
    <row r="244" spans="7:8" x14ac:dyDescent="0.45">
      <c r="G244" s="3"/>
      <c r="H244" s="5"/>
    </row>
    <row r="245" spans="7:8" x14ac:dyDescent="0.45">
      <c r="G245" s="3"/>
      <c r="H245" s="5"/>
    </row>
    <row r="246" spans="7:8" x14ac:dyDescent="0.45">
      <c r="G246" s="3"/>
      <c r="H246" s="5"/>
    </row>
    <row r="247" spans="7:8" x14ac:dyDescent="0.45">
      <c r="G247" s="3"/>
      <c r="H247" s="5"/>
    </row>
    <row r="248" spans="7:8" x14ac:dyDescent="0.45">
      <c r="G248" s="3"/>
      <c r="H248" s="5"/>
    </row>
    <row r="249" spans="7:8" x14ac:dyDescent="0.45">
      <c r="G249" s="3"/>
      <c r="H249" s="5"/>
    </row>
    <row r="250" spans="7:8" x14ac:dyDescent="0.45">
      <c r="G250" s="3"/>
      <c r="H250" s="5"/>
    </row>
    <row r="251" spans="7:8" x14ac:dyDescent="0.45">
      <c r="G251" s="3"/>
      <c r="H251" s="5"/>
    </row>
    <row r="252" spans="7:8" x14ac:dyDescent="0.45">
      <c r="G252" s="3"/>
      <c r="H252" s="5"/>
    </row>
    <row r="253" spans="7:8" x14ac:dyDescent="0.45">
      <c r="G253" s="3"/>
      <c r="H253" s="5"/>
    </row>
    <row r="254" spans="7:8" x14ac:dyDescent="0.45">
      <c r="G254" s="3"/>
      <c r="H254" s="5"/>
    </row>
    <row r="255" spans="7:8" x14ac:dyDescent="0.45">
      <c r="G255" s="3"/>
      <c r="H255" s="5"/>
    </row>
    <row r="256" spans="7:8" x14ac:dyDescent="0.45">
      <c r="G256" s="3"/>
      <c r="H256" s="5"/>
    </row>
    <row r="257" spans="7:8" x14ac:dyDescent="0.45">
      <c r="G257" s="3"/>
      <c r="H257" s="5"/>
    </row>
    <row r="258" spans="7:8" x14ac:dyDescent="0.45">
      <c r="G258" s="3"/>
      <c r="H258" s="5"/>
    </row>
    <row r="259" spans="7:8" x14ac:dyDescent="0.45">
      <c r="G259" s="3"/>
      <c r="H259" s="5"/>
    </row>
    <row r="260" spans="7:8" x14ac:dyDescent="0.45">
      <c r="G260" s="3"/>
      <c r="H260" s="5"/>
    </row>
    <row r="261" spans="7:8" x14ac:dyDescent="0.45">
      <c r="G261" s="3"/>
      <c r="H261" s="5"/>
    </row>
    <row r="262" spans="7:8" x14ac:dyDescent="0.45">
      <c r="G262" s="3"/>
      <c r="H262" s="5"/>
    </row>
    <row r="263" spans="7:8" x14ac:dyDescent="0.45">
      <c r="G263" s="3"/>
      <c r="H263" s="5"/>
    </row>
    <row r="264" spans="7:8" x14ac:dyDescent="0.45">
      <c r="G264" s="3"/>
      <c r="H264" s="5"/>
    </row>
    <row r="265" spans="7:8" x14ac:dyDescent="0.45">
      <c r="G265" s="3"/>
      <c r="H265" s="5"/>
    </row>
    <row r="266" spans="7:8" x14ac:dyDescent="0.45">
      <c r="G266" s="3"/>
      <c r="H266" s="5"/>
    </row>
    <row r="267" spans="7:8" x14ac:dyDescent="0.45">
      <c r="G267" s="3"/>
      <c r="H267" s="5"/>
    </row>
    <row r="268" spans="7:8" x14ac:dyDescent="0.45">
      <c r="G268" s="3"/>
      <c r="H268" s="5"/>
    </row>
    <row r="269" spans="7:8" x14ac:dyDescent="0.45">
      <c r="G269" s="3"/>
      <c r="H269" s="5"/>
    </row>
    <row r="270" spans="7:8" x14ac:dyDescent="0.45">
      <c r="G270" s="3"/>
      <c r="H270" s="5"/>
    </row>
    <row r="271" spans="7:8" x14ac:dyDescent="0.45">
      <c r="G271" s="3"/>
      <c r="H271" s="5"/>
    </row>
    <row r="272" spans="7:8" x14ac:dyDescent="0.45">
      <c r="G272" s="3"/>
      <c r="H272" s="5"/>
    </row>
    <row r="273" spans="7:8" x14ac:dyDescent="0.45">
      <c r="G273" s="3"/>
      <c r="H273" s="5"/>
    </row>
    <row r="274" spans="7:8" x14ac:dyDescent="0.45">
      <c r="G274" s="3"/>
      <c r="H274" s="5"/>
    </row>
    <row r="275" spans="7:8" x14ac:dyDescent="0.45">
      <c r="G275" s="3"/>
      <c r="H275" s="5"/>
    </row>
    <row r="276" spans="7:8" x14ac:dyDescent="0.45">
      <c r="G276" s="3"/>
      <c r="H276" s="5"/>
    </row>
    <row r="277" spans="7:8" x14ac:dyDescent="0.45">
      <c r="G277" s="3"/>
      <c r="H277" s="5"/>
    </row>
    <row r="278" spans="7:8" x14ac:dyDescent="0.45">
      <c r="G278" s="3"/>
      <c r="H278" s="5"/>
    </row>
    <row r="279" spans="7:8" x14ac:dyDescent="0.45">
      <c r="G279" s="3"/>
      <c r="H279" s="5"/>
    </row>
    <row r="280" spans="7:8" x14ac:dyDescent="0.45">
      <c r="G280" s="3"/>
      <c r="H280" s="5"/>
    </row>
    <row r="281" spans="7:8" x14ac:dyDescent="0.45">
      <c r="G281" s="3"/>
      <c r="H281" s="5"/>
    </row>
    <row r="282" spans="7:8" x14ac:dyDescent="0.45">
      <c r="G282" s="3"/>
      <c r="H282" s="5"/>
    </row>
    <row r="283" spans="7:8" x14ac:dyDescent="0.45">
      <c r="G283" s="3"/>
      <c r="H283" s="5"/>
    </row>
    <row r="284" spans="7:8" x14ac:dyDescent="0.45">
      <c r="G284" s="3"/>
      <c r="H284" s="5"/>
    </row>
    <row r="285" spans="7:8" x14ac:dyDescent="0.45">
      <c r="G285" s="3"/>
      <c r="H285" s="5"/>
    </row>
    <row r="286" spans="7:8" x14ac:dyDescent="0.45">
      <c r="G286" s="3"/>
      <c r="H286" s="5"/>
    </row>
    <row r="287" spans="7:8" x14ac:dyDescent="0.45">
      <c r="G287" s="3"/>
      <c r="H287" s="5"/>
    </row>
    <row r="288" spans="7:8" x14ac:dyDescent="0.45">
      <c r="G288" s="3"/>
      <c r="H288" s="5"/>
    </row>
    <row r="289" spans="7:8" x14ac:dyDescent="0.45">
      <c r="G289" s="3"/>
      <c r="H289" s="5"/>
    </row>
    <row r="290" spans="7:8" x14ac:dyDescent="0.45">
      <c r="G290" s="3"/>
      <c r="H290" s="5"/>
    </row>
    <row r="291" spans="7:8" x14ac:dyDescent="0.45">
      <c r="G291" s="3"/>
      <c r="H291" s="5"/>
    </row>
    <row r="292" spans="7:8" x14ac:dyDescent="0.45">
      <c r="G292" s="3"/>
      <c r="H292" s="5"/>
    </row>
    <row r="293" spans="7:8" x14ac:dyDescent="0.45">
      <c r="G293" s="3"/>
      <c r="H293" s="5"/>
    </row>
    <row r="294" spans="7:8" x14ac:dyDescent="0.45">
      <c r="G294" s="3"/>
      <c r="H294" s="5"/>
    </row>
    <row r="295" spans="7:8" x14ac:dyDescent="0.45">
      <c r="G295" s="3"/>
      <c r="H295" s="5"/>
    </row>
    <row r="296" spans="7:8" x14ac:dyDescent="0.45">
      <c r="G296" s="3"/>
      <c r="H296" s="5"/>
    </row>
    <row r="297" spans="7:8" x14ac:dyDescent="0.45">
      <c r="G297" s="3"/>
      <c r="H297" s="5"/>
    </row>
    <row r="298" spans="7:8" x14ac:dyDescent="0.45">
      <c r="G298" s="3"/>
      <c r="H298" s="5"/>
    </row>
    <row r="299" spans="7:8" x14ac:dyDescent="0.45">
      <c r="G299" s="3"/>
      <c r="H299" s="5"/>
    </row>
    <row r="300" spans="7:8" x14ac:dyDescent="0.45">
      <c r="G300" s="3"/>
      <c r="H300" s="5"/>
    </row>
    <row r="301" spans="7:8" x14ac:dyDescent="0.45">
      <c r="G301" s="3"/>
      <c r="H301" s="5"/>
    </row>
    <row r="302" spans="7:8" x14ac:dyDescent="0.45">
      <c r="G302" s="3"/>
      <c r="H302" s="5"/>
    </row>
    <row r="303" spans="7:8" x14ac:dyDescent="0.45">
      <c r="G303" s="3"/>
      <c r="H303" s="5"/>
    </row>
    <row r="304" spans="7:8" x14ac:dyDescent="0.45">
      <c r="G304" s="3"/>
      <c r="H304" s="5"/>
    </row>
    <row r="305" spans="7:8" x14ac:dyDescent="0.45">
      <c r="G305" s="3"/>
      <c r="H305" s="5"/>
    </row>
    <row r="306" spans="7:8" x14ac:dyDescent="0.45">
      <c r="G306" s="3"/>
      <c r="H306" s="5"/>
    </row>
    <row r="307" spans="7:8" x14ac:dyDescent="0.45">
      <c r="G307" s="3"/>
      <c r="H307" s="5"/>
    </row>
    <row r="308" spans="7:8" x14ac:dyDescent="0.45">
      <c r="G308" s="3"/>
      <c r="H308" s="5"/>
    </row>
    <row r="309" spans="7:8" x14ac:dyDescent="0.45">
      <c r="G309" s="3"/>
      <c r="H309" s="5"/>
    </row>
    <row r="310" spans="7:8" x14ac:dyDescent="0.45">
      <c r="G310" s="3"/>
      <c r="H310" s="5"/>
    </row>
    <row r="311" spans="7:8" x14ac:dyDescent="0.45">
      <c r="G311" s="3"/>
      <c r="H311" s="5"/>
    </row>
    <row r="312" spans="7:8" x14ac:dyDescent="0.45">
      <c r="G312" s="3"/>
      <c r="H312" s="5"/>
    </row>
    <row r="313" spans="7:8" x14ac:dyDescent="0.45">
      <c r="G313" s="3"/>
      <c r="H313" s="5"/>
    </row>
    <row r="314" spans="7:8" x14ac:dyDescent="0.45">
      <c r="G314" s="3"/>
      <c r="H314" s="5"/>
    </row>
    <row r="315" spans="7:8" x14ac:dyDescent="0.45">
      <c r="G315" s="3"/>
      <c r="H315" s="5"/>
    </row>
    <row r="316" spans="7:8" x14ac:dyDescent="0.45">
      <c r="G316" s="3"/>
      <c r="H316" s="5"/>
    </row>
    <row r="317" spans="7:8" x14ac:dyDescent="0.45">
      <c r="G317" s="3"/>
      <c r="H317" s="5"/>
    </row>
    <row r="318" spans="7:8" x14ac:dyDescent="0.45">
      <c r="G318" s="3"/>
      <c r="H318" s="5"/>
    </row>
    <row r="319" spans="7:8" x14ac:dyDescent="0.45">
      <c r="G319" s="3"/>
      <c r="H319" s="5"/>
    </row>
    <row r="320" spans="7:8" x14ac:dyDescent="0.45">
      <c r="G320" s="3"/>
      <c r="H320" s="5"/>
    </row>
    <row r="321" spans="7:8" x14ac:dyDescent="0.45">
      <c r="G321" s="3"/>
      <c r="H321" s="5"/>
    </row>
    <row r="322" spans="7:8" x14ac:dyDescent="0.45">
      <c r="G322" s="3"/>
      <c r="H322" s="5"/>
    </row>
    <row r="323" spans="7:8" x14ac:dyDescent="0.45">
      <c r="G323" s="3"/>
      <c r="H323" s="5"/>
    </row>
    <row r="324" spans="7:8" x14ac:dyDescent="0.45">
      <c r="G324" s="3"/>
      <c r="H324" s="5"/>
    </row>
    <row r="325" spans="7:8" x14ac:dyDescent="0.45">
      <c r="G325" s="3"/>
      <c r="H325" s="5"/>
    </row>
    <row r="326" spans="7:8" x14ac:dyDescent="0.45">
      <c r="G326" s="3"/>
      <c r="H326" s="5"/>
    </row>
    <row r="327" spans="7:8" x14ac:dyDescent="0.45">
      <c r="G327" s="3"/>
      <c r="H327" s="5"/>
    </row>
    <row r="328" spans="7:8" x14ac:dyDescent="0.45">
      <c r="G328" s="3"/>
      <c r="H328" s="5"/>
    </row>
    <row r="329" spans="7:8" x14ac:dyDescent="0.45">
      <c r="G329" s="3"/>
      <c r="H329" s="5"/>
    </row>
    <row r="330" spans="7:8" x14ac:dyDescent="0.45">
      <c r="G330" s="3"/>
      <c r="H330" s="5"/>
    </row>
    <row r="331" spans="7:8" x14ac:dyDescent="0.45">
      <c r="G331" s="3"/>
      <c r="H331" s="5"/>
    </row>
    <row r="332" spans="7:8" x14ac:dyDescent="0.45">
      <c r="G332" s="3"/>
      <c r="H332" s="5"/>
    </row>
    <row r="333" spans="7:8" x14ac:dyDescent="0.45">
      <c r="G333" s="3"/>
      <c r="H333" s="5"/>
    </row>
    <row r="334" spans="7:8" x14ac:dyDescent="0.45">
      <c r="G334" s="3"/>
      <c r="H334" s="5"/>
    </row>
    <row r="335" spans="7:8" x14ac:dyDescent="0.45">
      <c r="G335" s="3"/>
      <c r="H335" s="5"/>
    </row>
    <row r="336" spans="7:8" x14ac:dyDescent="0.45">
      <c r="G336" s="3"/>
      <c r="H336" s="5"/>
    </row>
    <row r="337" spans="7:8" x14ac:dyDescent="0.45">
      <c r="G337" s="3"/>
      <c r="H337" s="5"/>
    </row>
    <row r="338" spans="7:8" x14ac:dyDescent="0.45">
      <c r="G338" s="3"/>
      <c r="H338" s="5"/>
    </row>
    <row r="339" spans="7:8" x14ac:dyDescent="0.45">
      <c r="G339" s="3"/>
      <c r="H339" s="5"/>
    </row>
    <row r="340" spans="7:8" x14ac:dyDescent="0.45">
      <c r="G340" s="3"/>
      <c r="H340" s="5"/>
    </row>
    <row r="341" spans="7:8" x14ac:dyDescent="0.45">
      <c r="G341" s="3"/>
      <c r="H341" s="5"/>
    </row>
    <row r="342" spans="7:8" x14ac:dyDescent="0.45">
      <c r="G342" s="3"/>
      <c r="H342" s="5"/>
    </row>
    <row r="343" spans="7:8" x14ac:dyDescent="0.45">
      <c r="G343" s="3"/>
      <c r="H343" s="5"/>
    </row>
    <row r="344" spans="7:8" x14ac:dyDescent="0.45">
      <c r="G344" s="3"/>
      <c r="H344" s="5"/>
    </row>
    <row r="345" spans="7:8" x14ac:dyDescent="0.45">
      <c r="G345" s="3"/>
      <c r="H345" s="5"/>
    </row>
    <row r="346" spans="7:8" x14ac:dyDescent="0.45">
      <c r="G346" s="3"/>
      <c r="H346" s="5"/>
    </row>
    <row r="347" spans="7:8" x14ac:dyDescent="0.45">
      <c r="G347" s="3"/>
      <c r="H347" s="5"/>
    </row>
    <row r="348" spans="7:8" x14ac:dyDescent="0.45">
      <c r="G348" s="3"/>
      <c r="H348" s="5"/>
    </row>
    <row r="349" spans="7:8" x14ac:dyDescent="0.45">
      <c r="G349" s="3"/>
      <c r="H349" s="5"/>
    </row>
    <row r="350" spans="7:8" x14ac:dyDescent="0.45">
      <c r="G350" s="3"/>
      <c r="H350" s="5"/>
    </row>
    <row r="351" spans="7:8" x14ac:dyDescent="0.45">
      <c r="G351" s="3"/>
      <c r="H35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52CD-F242-4F2A-97E1-59CB8EB7F782}">
  <dimension ref="D1:I351"/>
  <sheetViews>
    <sheetView workbookViewId="0">
      <selection sqref="A1:C1048576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4:9" x14ac:dyDescent="0.45"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4:9" x14ac:dyDescent="0.45">
      <c r="D2" t="str">
        <f>IF(B2&lt;=150,"&lt;=150",IF(B2&gt;500,"501+",B2))</f>
        <v>&lt;=150</v>
      </c>
      <c r="E2">
        <f>IF(A2&gt;=20,"20+",A2)</f>
        <v>0</v>
      </c>
      <c r="F2" s="1" t="e">
        <f>INDEX('App-Click Conversion by Rank'!$K$12:$S$31,MATCH(E2,'App-Click Conversion by Rank'!$J$12:$J$31,0),MATCH(D2,'App-Click Conversion by Rank'!$K$11:$S$11,0))</f>
        <v>#N/A</v>
      </c>
      <c r="G2" s="3" t="e">
        <f>C2*F2</f>
        <v>#N/A</v>
      </c>
      <c r="H2" s="5" t="e">
        <f>G2*A2</f>
        <v>#N/A</v>
      </c>
      <c r="I2">
        <f>C2*A2</f>
        <v>0</v>
      </c>
    </row>
    <row r="3" spans="4:9" x14ac:dyDescent="0.45">
      <c r="D3" t="str">
        <f t="shared" ref="D3:D66" si="0">IF(B3&lt;=150,"&lt;=150",IF(B3&gt;500,"501+",B3))</f>
        <v>&lt;=150</v>
      </c>
      <c r="E3">
        <f t="shared" ref="E3:E66" si="1">IF(A3&gt;=20,"20+",A3)</f>
        <v>0</v>
      </c>
      <c r="F3" s="1" t="e">
        <f>INDEX('App-Click Conversion by Rank'!$K$12:$S$31,MATCH(E3,'App-Click Conversion by Rank'!$J$12:$J$31,0),MATCH(D3,'App-Click Conversion by Rank'!$K$11:$S$11,0))</f>
        <v>#N/A</v>
      </c>
      <c r="G3" s="3" t="e">
        <f t="shared" ref="G3:G66" si="2">C3*F3</f>
        <v>#N/A</v>
      </c>
      <c r="H3" s="5" t="e">
        <f t="shared" ref="H3:H66" si="3">G3*A3</f>
        <v>#N/A</v>
      </c>
      <c r="I3">
        <f t="shared" ref="I3:I66" si="4">C3*A3</f>
        <v>0</v>
      </c>
    </row>
    <row r="4" spans="4:9" x14ac:dyDescent="0.45">
      <c r="D4" t="str">
        <f t="shared" si="0"/>
        <v>&lt;=150</v>
      </c>
      <c r="E4">
        <f t="shared" si="1"/>
        <v>0</v>
      </c>
      <c r="F4" s="1" t="e">
        <f>INDEX('App-Click Conversion by Rank'!$K$12:$S$31,MATCH(E4,'App-Click Conversion by Rank'!$J$12:$J$31,0),MATCH(D4,'App-Click Conversion by Rank'!$K$11:$S$11,0))</f>
        <v>#N/A</v>
      </c>
      <c r="G4" s="3" t="e">
        <f t="shared" si="2"/>
        <v>#N/A</v>
      </c>
      <c r="H4" s="5" t="e">
        <f t="shared" si="3"/>
        <v>#N/A</v>
      </c>
      <c r="I4">
        <f t="shared" si="4"/>
        <v>0</v>
      </c>
    </row>
    <row r="5" spans="4:9" x14ac:dyDescent="0.45">
      <c r="D5" t="str">
        <f t="shared" si="0"/>
        <v>&lt;=150</v>
      </c>
      <c r="E5">
        <f t="shared" si="1"/>
        <v>0</v>
      </c>
      <c r="F5" s="1" t="e">
        <f>INDEX('App-Click Conversion by Rank'!$K$12:$S$31,MATCH(E5,'App-Click Conversion by Rank'!$J$12:$J$31,0),MATCH(D5,'App-Click Conversion by Rank'!$K$11:$S$11,0))</f>
        <v>#N/A</v>
      </c>
      <c r="G5" s="3" t="e">
        <f t="shared" si="2"/>
        <v>#N/A</v>
      </c>
      <c r="H5" s="5" t="e">
        <f t="shared" si="3"/>
        <v>#N/A</v>
      </c>
      <c r="I5">
        <f t="shared" si="4"/>
        <v>0</v>
      </c>
    </row>
    <row r="6" spans="4:9" x14ac:dyDescent="0.45">
      <c r="D6" t="str">
        <f t="shared" si="0"/>
        <v>&lt;=150</v>
      </c>
      <c r="E6">
        <f t="shared" si="1"/>
        <v>0</v>
      </c>
      <c r="F6" s="1" t="e">
        <f>INDEX('App-Click Conversion by Rank'!$K$12:$S$31,MATCH(E6,'App-Click Conversion by Rank'!$J$12:$J$31,0),MATCH(D6,'App-Click Conversion by Rank'!$K$11:$S$11,0))</f>
        <v>#N/A</v>
      </c>
      <c r="G6" s="3" t="e">
        <f t="shared" si="2"/>
        <v>#N/A</v>
      </c>
      <c r="H6" s="5" t="e">
        <f t="shared" si="3"/>
        <v>#N/A</v>
      </c>
      <c r="I6">
        <f t="shared" si="4"/>
        <v>0</v>
      </c>
    </row>
    <row r="7" spans="4:9" x14ac:dyDescent="0.45">
      <c r="D7" t="str">
        <f t="shared" si="0"/>
        <v>&lt;=150</v>
      </c>
      <c r="E7">
        <f t="shared" si="1"/>
        <v>0</v>
      </c>
      <c r="F7" s="1" t="e">
        <f>INDEX('App-Click Conversion by Rank'!$K$12:$S$31,MATCH(E7,'App-Click Conversion by Rank'!$J$12:$J$31,0),MATCH(D7,'App-Click Conversion by Rank'!$K$11:$S$11,0))</f>
        <v>#N/A</v>
      </c>
      <c r="G7" s="3" t="e">
        <f t="shared" si="2"/>
        <v>#N/A</v>
      </c>
      <c r="H7" s="5" t="e">
        <f t="shared" si="3"/>
        <v>#N/A</v>
      </c>
      <c r="I7">
        <f t="shared" si="4"/>
        <v>0</v>
      </c>
    </row>
    <row r="8" spans="4:9" x14ac:dyDescent="0.45">
      <c r="D8" t="str">
        <f t="shared" si="0"/>
        <v>&lt;=150</v>
      </c>
      <c r="E8">
        <f t="shared" si="1"/>
        <v>0</v>
      </c>
      <c r="F8" s="1" t="e">
        <f>INDEX('App-Click Conversion by Rank'!$K$12:$S$31,MATCH(E8,'App-Click Conversion by Rank'!$J$12:$J$31,0),MATCH(D8,'App-Click Conversion by Rank'!$K$11:$S$11,0))</f>
        <v>#N/A</v>
      </c>
      <c r="G8" s="3" t="e">
        <f t="shared" si="2"/>
        <v>#N/A</v>
      </c>
      <c r="H8" s="5" t="e">
        <f t="shared" si="3"/>
        <v>#N/A</v>
      </c>
      <c r="I8">
        <f t="shared" si="4"/>
        <v>0</v>
      </c>
    </row>
    <row r="9" spans="4:9" x14ac:dyDescent="0.45">
      <c r="D9" t="str">
        <f t="shared" si="0"/>
        <v>&lt;=150</v>
      </c>
      <c r="E9">
        <f t="shared" si="1"/>
        <v>0</v>
      </c>
      <c r="F9" s="1" t="e">
        <f>INDEX('App-Click Conversion by Rank'!$K$12:$S$31,MATCH(E9,'App-Click Conversion by Rank'!$J$12:$J$31,0),MATCH(D9,'App-Click Conversion by Rank'!$K$11:$S$11,0))</f>
        <v>#N/A</v>
      </c>
      <c r="G9" s="3" t="e">
        <f t="shared" si="2"/>
        <v>#N/A</v>
      </c>
      <c r="H9" s="5" t="e">
        <f t="shared" si="3"/>
        <v>#N/A</v>
      </c>
      <c r="I9">
        <f t="shared" si="4"/>
        <v>0</v>
      </c>
    </row>
    <row r="10" spans="4:9" x14ac:dyDescent="0.45">
      <c r="D10" t="str">
        <f t="shared" si="0"/>
        <v>&lt;=150</v>
      </c>
      <c r="E10">
        <f t="shared" si="1"/>
        <v>0</v>
      </c>
      <c r="F10" s="1" t="e">
        <f>INDEX('App-Click Conversion by Rank'!$K$12:$S$31,MATCH(E10,'App-Click Conversion by Rank'!$J$12:$J$31,0),MATCH(D10,'App-Click Conversion by Rank'!$K$11:$S$11,0))</f>
        <v>#N/A</v>
      </c>
      <c r="G10" s="3" t="e">
        <f t="shared" si="2"/>
        <v>#N/A</v>
      </c>
      <c r="H10" s="5" t="e">
        <f t="shared" si="3"/>
        <v>#N/A</v>
      </c>
      <c r="I10">
        <f t="shared" si="4"/>
        <v>0</v>
      </c>
    </row>
    <row r="11" spans="4:9" x14ac:dyDescent="0.45">
      <c r="D11" t="str">
        <f t="shared" si="0"/>
        <v>&lt;=150</v>
      </c>
      <c r="E11">
        <f t="shared" si="1"/>
        <v>0</v>
      </c>
      <c r="F11" s="1" t="e">
        <f>INDEX('App-Click Conversion by Rank'!$K$12:$S$31,MATCH(E11,'App-Click Conversion by Rank'!$J$12:$J$31,0),MATCH(D11,'App-Click Conversion by Rank'!$K$11:$S$11,0))</f>
        <v>#N/A</v>
      </c>
      <c r="G11" s="3" t="e">
        <f t="shared" si="2"/>
        <v>#N/A</v>
      </c>
      <c r="H11" s="5" t="e">
        <f t="shared" si="3"/>
        <v>#N/A</v>
      </c>
      <c r="I11">
        <f t="shared" si="4"/>
        <v>0</v>
      </c>
    </row>
    <row r="12" spans="4:9" x14ac:dyDescent="0.45">
      <c r="D12" t="str">
        <f t="shared" si="0"/>
        <v>&lt;=150</v>
      </c>
      <c r="E12">
        <f t="shared" si="1"/>
        <v>0</v>
      </c>
      <c r="F12" s="1" t="e">
        <f>INDEX('App-Click Conversion by Rank'!$K$12:$S$31,MATCH(E12,'App-Click Conversion by Rank'!$J$12:$J$31,0),MATCH(D12,'App-Click Conversion by Rank'!$K$11:$S$11,0))</f>
        <v>#N/A</v>
      </c>
      <c r="G12" s="3" t="e">
        <f t="shared" si="2"/>
        <v>#N/A</v>
      </c>
      <c r="H12" s="5" t="e">
        <f t="shared" si="3"/>
        <v>#N/A</v>
      </c>
      <c r="I12">
        <f t="shared" si="4"/>
        <v>0</v>
      </c>
    </row>
    <row r="13" spans="4:9" x14ac:dyDescent="0.45">
      <c r="D13" t="str">
        <f t="shared" si="0"/>
        <v>&lt;=150</v>
      </c>
      <c r="E13">
        <f t="shared" si="1"/>
        <v>0</v>
      </c>
      <c r="F13" s="1" t="e">
        <f>INDEX('App-Click Conversion by Rank'!$K$12:$S$31,MATCH(E13,'App-Click Conversion by Rank'!$J$12:$J$31,0),MATCH(D13,'App-Click Conversion by Rank'!$K$11:$S$11,0))</f>
        <v>#N/A</v>
      </c>
      <c r="G13" s="3" t="e">
        <f t="shared" si="2"/>
        <v>#N/A</v>
      </c>
      <c r="H13" s="5" t="e">
        <f t="shared" si="3"/>
        <v>#N/A</v>
      </c>
      <c r="I13">
        <f t="shared" si="4"/>
        <v>0</v>
      </c>
    </row>
    <row r="14" spans="4:9" x14ac:dyDescent="0.45">
      <c r="D14" t="str">
        <f t="shared" si="0"/>
        <v>&lt;=150</v>
      </c>
      <c r="E14">
        <f t="shared" si="1"/>
        <v>0</v>
      </c>
      <c r="F14" s="1" t="e">
        <f>INDEX('App-Click Conversion by Rank'!$K$12:$S$31,MATCH(E14,'App-Click Conversion by Rank'!$J$12:$J$31,0),MATCH(D14,'App-Click Conversion by Rank'!$K$11:$S$11,0))</f>
        <v>#N/A</v>
      </c>
      <c r="G14" s="3" t="e">
        <f t="shared" si="2"/>
        <v>#N/A</v>
      </c>
      <c r="H14" s="5" t="e">
        <f t="shared" si="3"/>
        <v>#N/A</v>
      </c>
      <c r="I14">
        <f t="shared" si="4"/>
        <v>0</v>
      </c>
    </row>
    <row r="15" spans="4:9" x14ac:dyDescent="0.45">
      <c r="D15" t="str">
        <f t="shared" si="0"/>
        <v>&lt;=150</v>
      </c>
      <c r="E15">
        <f t="shared" si="1"/>
        <v>0</v>
      </c>
      <c r="F15" s="1" t="e">
        <f>INDEX('App-Click Conversion by Rank'!$K$12:$S$31,MATCH(E15,'App-Click Conversion by Rank'!$J$12:$J$31,0),MATCH(D15,'App-Click Conversion by Rank'!$K$11:$S$11,0))</f>
        <v>#N/A</v>
      </c>
      <c r="G15" s="3" t="e">
        <f t="shared" si="2"/>
        <v>#N/A</v>
      </c>
      <c r="H15" s="5" t="e">
        <f t="shared" si="3"/>
        <v>#N/A</v>
      </c>
      <c r="I15">
        <f t="shared" si="4"/>
        <v>0</v>
      </c>
    </row>
    <row r="16" spans="4:9" x14ac:dyDescent="0.45">
      <c r="D16" t="str">
        <f t="shared" si="0"/>
        <v>&lt;=150</v>
      </c>
      <c r="E16">
        <f t="shared" si="1"/>
        <v>0</v>
      </c>
      <c r="F16" s="1" t="e">
        <f>INDEX('App-Click Conversion by Rank'!$K$12:$S$31,MATCH(E16,'App-Click Conversion by Rank'!$J$12:$J$31,0),MATCH(D16,'App-Click Conversion by Rank'!$K$11:$S$11,0))</f>
        <v>#N/A</v>
      </c>
      <c r="G16" s="3" t="e">
        <f t="shared" si="2"/>
        <v>#N/A</v>
      </c>
      <c r="H16" s="5" t="e">
        <f t="shared" si="3"/>
        <v>#N/A</v>
      </c>
      <c r="I16">
        <f t="shared" si="4"/>
        <v>0</v>
      </c>
    </row>
    <row r="17" spans="4:9" x14ac:dyDescent="0.45">
      <c r="D17" t="str">
        <f t="shared" si="0"/>
        <v>&lt;=150</v>
      </c>
      <c r="E17">
        <f t="shared" si="1"/>
        <v>0</v>
      </c>
      <c r="F17" s="1" t="e">
        <f>INDEX('App-Click Conversion by Rank'!$K$12:$S$31,MATCH(E17,'App-Click Conversion by Rank'!$J$12:$J$31,0),MATCH(D17,'App-Click Conversion by Rank'!$K$11:$S$11,0))</f>
        <v>#N/A</v>
      </c>
      <c r="G17" s="3" t="e">
        <f t="shared" si="2"/>
        <v>#N/A</v>
      </c>
      <c r="H17" s="5" t="e">
        <f t="shared" si="3"/>
        <v>#N/A</v>
      </c>
      <c r="I17">
        <f t="shared" si="4"/>
        <v>0</v>
      </c>
    </row>
    <row r="18" spans="4:9" x14ac:dyDescent="0.45">
      <c r="D18" t="str">
        <f t="shared" si="0"/>
        <v>&lt;=150</v>
      </c>
      <c r="E18">
        <f t="shared" si="1"/>
        <v>0</v>
      </c>
      <c r="F18" s="1" t="e">
        <f>INDEX('App-Click Conversion by Rank'!$K$12:$S$31,MATCH(E18,'App-Click Conversion by Rank'!$J$12:$J$31,0),MATCH(D18,'App-Click Conversion by Rank'!$K$11:$S$11,0))</f>
        <v>#N/A</v>
      </c>
      <c r="G18" s="3" t="e">
        <f t="shared" si="2"/>
        <v>#N/A</v>
      </c>
      <c r="H18" s="5" t="e">
        <f t="shared" si="3"/>
        <v>#N/A</v>
      </c>
      <c r="I18">
        <f t="shared" si="4"/>
        <v>0</v>
      </c>
    </row>
    <row r="19" spans="4:9" x14ac:dyDescent="0.45">
      <c r="D19" t="str">
        <f t="shared" si="0"/>
        <v>&lt;=150</v>
      </c>
      <c r="E19">
        <f t="shared" si="1"/>
        <v>0</v>
      </c>
      <c r="F19" s="1" t="e">
        <f>INDEX('App-Click Conversion by Rank'!$K$12:$S$31,MATCH(E19,'App-Click Conversion by Rank'!$J$12:$J$31,0),MATCH(D19,'App-Click Conversion by Rank'!$K$11:$S$11,0))</f>
        <v>#N/A</v>
      </c>
      <c r="G19" s="3" t="e">
        <f t="shared" si="2"/>
        <v>#N/A</v>
      </c>
      <c r="H19" s="5" t="e">
        <f t="shared" si="3"/>
        <v>#N/A</v>
      </c>
      <c r="I19">
        <f t="shared" si="4"/>
        <v>0</v>
      </c>
    </row>
    <row r="20" spans="4:9" x14ac:dyDescent="0.45">
      <c r="D20" t="str">
        <f t="shared" si="0"/>
        <v>&lt;=150</v>
      </c>
      <c r="E20">
        <f t="shared" si="1"/>
        <v>0</v>
      </c>
      <c r="F20" s="1" t="e">
        <f>INDEX('App-Click Conversion by Rank'!$K$12:$S$31,MATCH(E20,'App-Click Conversion by Rank'!$J$12:$J$31,0),MATCH(D20,'App-Click Conversion by Rank'!$K$11:$S$11,0))</f>
        <v>#N/A</v>
      </c>
      <c r="G20" s="3" t="e">
        <f t="shared" si="2"/>
        <v>#N/A</v>
      </c>
      <c r="H20" s="5" t="e">
        <f t="shared" si="3"/>
        <v>#N/A</v>
      </c>
      <c r="I20">
        <f t="shared" si="4"/>
        <v>0</v>
      </c>
    </row>
    <row r="21" spans="4:9" x14ac:dyDescent="0.45">
      <c r="D21" t="str">
        <f t="shared" si="0"/>
        <v>&lt;=150</v>
      </c>
      <c r="E21">
        <f t="shared" si="1"/>
        <v>0</v>
      </c>
      <c r="F21" s="1" t="e">
        <f>INDEX('App-Click Conversion by Rank'!$K$12:$S$31,MATCH(E21,'App-Click Conversion by Rank'!$J$12:$J$31,0),MATCH(D21,'App-Click Conversion by Rank'!$K$11:$S$11,0))</f>
        <v>#N/A</v>
      </c>
      <c r="G21" s="3" t="e">
        <f t="shared" si="2"/>
        <v>#N/A</v>
      </c>
      <c r="H21" s="5" t="e">
        <f t="shared" si="3"/>
        <v>#N/A</v>
      </c>
      <c r="I21">
        <f t="shared" si="4"/>
        <v>0</v>
      </c>
    </row>
    <row r="22" spans="4:9" x14ac:dyDescent="0.45">
      <c r="D22" t="str">
        <f t="shared" si="0"/>
        <v>&lt;=150</v>
      </c>
      <c r="E22">
        <f t="shared" si="1"/>
        <v>0</v>
      </c>
      <c r="F22" s="1" t="e">
        <f>INDEX('App-Click Conversion by Rank'!$K$12:$S$31,MATCH(E22,'App-Click Conversion by Rank'!$J$12:$J$31,0),MATCH(D22,'App-Click Conversion by Rank'!$K$11:$S$11,0))</f>
        <v>#N/A</v>
      </c>
      <c r="G22" s="3" t="e">
        <f t="shared" si="2"/>
        <v>#N/A</v>
      </c>
      <c r="H22" s="5" t="e">
        <f t="shared" si="3"/>
        <v>#N/A</v>
      </c>
      <c r="I22">
        <f t="shared" si="4"/>
        <v>0</v>
      </c>
    </row>
    <row r="23" spans="4:9" x14ac:dyDescent="0.45">
      <c r="D23" t="str">
        <f t="shared" si="0"/>
        <v>&lt;=150</v>
      </c>
      <c r="E23">
        <f t="shared" si="1"/>
        <v>0</v>
      </c>
      <c r="F23" s="1" t="e">
        <f>INDEX('App-Click Conversion by Rank'!$K$12:$S$31,MATCH(E23,'App-Click Conversion by Rank'!$J$12:$J$31,0),MATCH(D23,'App-Click Conversion by Rank'!$K$11:$S$11,0))</f>
        <v>#N/A</v>
      </c>
      <c r="G23" s="3" t="e">
        <f t="shared" si="2"/>
        <v>#N/A</v>
      </c>
      <c r="H23" s="5" t="e">
        <f t="shared" si="3"/>
        <v>#N/A</v>
      </c>
      <c r="I23">
        <f t="shared" si="4"/>
        <v>0</v>
      </c>
    </row>
    <row r="24" spans="4:9" x14ac:dyDescent="0.45">
      <c r="D24" t="str">
        <f t="shared" si="0"/>
        <v>&lt;=150</v>
      </c>
      <c r="E24">
        <f t="shared" si="1"/>
        <v>0</v>
      </c>
      <c r="F24" s="1" t="e">
        <f>INDEX('App-Click Conversion by Rank'!$K$12:$S$31,MATCH(E24,'App-Click Conversion by Rank'!$J$12:$J$31,0),MATCH(D24,'App-Click Conversion by Rank'!$K$11:$S$11,0))</f>
        <v>#N/A</v>
      </c>
      <c r="G24" s="3" t="e">
        <f t="shared" si="2"/>
        <v>#N/A</v>
      </c>
      <c r="H24" s="5" t="e">
        <f t="shared" si="3"/>
        <v>#N/A</v>
      </c>
      <c r="I24">
        <f t="shared" si="4"/>
        <v>0</v>
      </c>
    </row>
    <row r="25" spans="4:9" x14ac:dyDescent="0.45">
      <c r="D25" t="str">
        <f t="shared" si="0"/>
        <v>&lt;=150</v>
      </c>
      <c r="E25">
        <f t="shared" si="1"/>
        <v>0</v>
      </c>
      <c r="F25" s="1" t="e">
        <f>INDEX('App-Click Conversion by Rank'!$K$12:$S$31,MATCH(E25,'App-Click Conversion by Rank'!$J$12:$J$31,0),MATCH(D25,'App-Click Conversion by Rank'!$K$11:$S$11,0))</f>
        <v>#N/A</v>
      </c>
      <c r="G25" s="3" t="e">
        <f t="shared" si="2"/>
        <v>#N/A</v>
      </c>
      <c r="H25" s="5" t="e">
        <f t="shared" si="3"/>
        <v>#N/A</v>
      </c>
      <c r="I25">
        <f t="shared" si="4"/>
        <v>0</v>
      </c>
    </row>
    <row r="26" spans="4:9" x14ac:dyDescent="0.45">
      <c r="D26" t="str">
        <f t="shared" si="0"/>
        <v>&lt;=150</v>
      </c>
      <c r="E26">
        <f t="shared" si="1"/>
        <v>0</v>
      </c>
      <c r="F26" s="1" t="e">
        <f>INDEX('App-Click Conversion by Rank'!$K$12:$S$31,MATCH(E26,'App-Click Conversion by Rank'!$J$12:$J$31,0),MATCH(D26,'App-Click Conversion by Rank'!$K$11:$S$11,0))</f>
        <v>#N/A</v>
      </c>
      <c r="G26" s="3" t="e">
        <f t="shared" si="2"/>
        <v>#N/A</v>
      </c>
      <c r="H26" s="5" t="e">
        <f t="shared" si="3"/>
        <v>#N/A</v>
      </c>
      <c r="I26">
        <f t="shared" si="4"/>
        <v>0</v>
      </c>
    </row>
    <row r="27" spans="4:9" x14ac:dyDescent="0.45">
      <c r="D27" t="str">
        <f t="shared" si="0"/>
        <v>&lt;=150</v>
      </c>
      <c r="E27">
        <f t="shared" si="1"/>
        <v>0</v>
      </c>
      <c r="F27" s="1" t="e">
        <f>INDEX('App-Click Conversion by Rank'!$K$12:$S$31,MATCH(E27,'App-Click Conversion by Rank'!$J$12:$J$31,0),MATCH(D27,'App-Click Conversion by Rank'!$K$11:$S$11,0))</f>
        <v>#N/A</v>
      </c>
      <c r="G27" s="3" t="e">
        <f t="shared" si="2"/>
        <v>#N/A</v>
      </c>
      <c r="H27" s="5" t="e">
        <f t="shared" si="3"/>
        <v>#N/A</v>
      </c>
      <c r="I27">
        <f t="shared" si="4"/>
        <v>0</v>
      </c>
    </row>
    <row r="28" spans="4:9" x14ac:dyDescent="0.45">
      <c r="D28" t="str">
        <f t="shared" si="0"/>
        <v>&lt;=150</v>
      </c>
      <c r="E28">
        <f t="shared" si="1"/>
        <v>0</v>
      </c>
      <c r="F28" s="1" t="e">
        <f>INDEX('App-Click Conversion by Rank'!$K$12:$S$31,MATCH(E28,'App-Click Conversion by Rank'!$J$12:$J$31,0),MATCH(D28,'App-Click Conversion by Rank'!$K$11:$S$11,0))</f>
        <v>#N/A</v>
      </c>
      <c r="G28" s="3" t="e">
        <f t="shared" si="2"/>
        <v>#N/A</v>
      </c>
      <c r="H28" s="5" t="e">
        <f t="shared" si="3"/>
        <v>#N/A</v>
      </c>
      <c r="I28">
        <f t="shared" si="4"/>
        <v>0</v>
      </c>
    </row>
    <row r="29" spans="4:9" x14ac:dyDescent="0.45">
      <c r="D29" t="str">
        <f t="shared" si="0"/>
        <v>&lt;=150</v>
      </c>
      <c r="E29">
        <f t="shared" si="1"/>
        <v>0</v>
      </c>
      <c r="F29" s="1" t="e">
        <f>INDEX('App-Click Conversion by Rank'!$K$12:$S$31,MATCH(E29,'App-Click Conversion by Rank'!$J$12:$J$31,0),MATCH(D29,'App-Click Conversion by Rank'!$K$11:$S$11,0))</f>
        <v>#N/A</v>
      </c>
      <c r="G29" s="3" t="e">
        <f t="shared" si="2"/>
        <v>#N/A</v>
      </c>
      <c r="H29" s="5" t="e">
        <f t="shared" si="3"/>
        <v>#N/A</v>
      </c>
      <c r="I29">
        <f t="shared" si="4"/>
        <v>0</v>
      </c>
    </row>
    <row r="30" spans="4:9" x14ac:dyDescent="0.45">
      <c r="D30" t="str">
        <f t="shared" si="0"/>
        <v>&lt;=150</v>
      </c>
      <c r="E30">
        <f t="shared" si="1"/>
        <v>0</v>
      </c>
      <c r="F30" s="1" t="e">
        <f>INDEX('App-Click Conversion by Rank'!$K$12:$S$31,MATCH(E30,'App-Click Conversion by Rank'!$J$12:$J$31,0),MATCH(D30,'App-Click Conversion by Rank'!$K$11:$S$11,0))</f>
        <v>#N/A</v>
      </c>
      <c r="G30" s="3" t="e">
        <f t="shared" si="2"/>
        <v>#N/A</v>
      </c>
      <c r="H30" s="5" t="e">
        <f t="shared" si="3"/>
        <v>#N/A</v>
      </c>
      <c r="I30">
        <f t="shared" si="4"/>
        <v>0</v>
      </c>
    </row>
    <row r="31" spans="4:9" x14ac:dyDescent="0.45">
      <c r="D31" t="str">
        <f t="shared" si="0"/>
        <v>&lt;=150</v>
      </c>
      <c r="E31">
        <f t="shared" si="1"/>
        <v>0</v>
      </c>
      <c r="F31" s="1" t="e">
        <f>INDEX('App-Click Conversion by Rank'!$K$12:$S$31,MATCH(E31,'App-Click Conversion by Rank'!$J$12:$J$31,0),MATCH(D31,'App-Click Conversion by Rank'!$K$11:$S$11,0))</f>
        <v>#N/A</v>
      </c>
      <c r="G31" s="3" t="e">
        <f t="shared" si="2"/>
        <v>#N/A</v>
      </c>
      <c r="H31" s="5" t="e">
        <f t="shared" si="3"/>
        <v>#N/A</v>
      </c>
      <c r="I31">
        <f t="shared" si="4"/>
        <v>0</v>
      </c>
    </row>
    <row r="32" spans="4:9" x14ac:dyDescent="0.45">
      <c r="D32" t="str">
        <f t="shared" si="0"/>
        <v>&lt;=150</v>
      </c>
      <c r="E32">
        <f t="shared" si="1"/>
        <v>0</v>
      </c>
      <c r="F32" s="1" t="e">
        <f>INDEX('App-Click Conversion by Rank'!$K$12:$S$31,MATCH(E32,'App-Click Conversion by Rank'!$J$12:$J$31,0),MATCH(D32,'App-Click Conversion by Rank'!$K$11:$S$11,0))</f>
        <v>#N/A</v>
      </c>
      <c r="G32" s="3" t="e">
        <f t="shared" si="2"/>
        <v>#N/A</v>
      </c>
      <c r="H32" s="5" t="e">
        <f t="shared" si="3"/>
        <v>#N/A</v>
      </c>
      <c r="I32">
        <f t="shared" si="4"/>
        <v>0</v>
      </c>
    </row>
    <row r="33" spans="4:9" x14ac:dyDescent="0.45">
      <c r="D33" t="str">
        <f t="shared" si="0"/>
        <v>&lt;=150</v>
      </c>
      <c r="E33">
        <f t="shared" si="1"/>
        <v>0</v>
      </c>
      <c r="F33" s="1" t="e">
        <f>INDEX('App-Click Conversion by Rank'!$K$12:$S$31,MATCH(E33,'App-Click Conversion by Rank'!$J$12:$J$31,0),MATCH(D33,'App-Click Conversion by Rank'!$K$11:$S$11,0))</f>
        <v>#N/A</v>
      </c>
      <c r="G33" s="3" t="e">
        <f t="shared" si="2"/>
        <v>#N/A</v>
      </c>
      <c r="H33" s="5" t="e">
        <f t="shared" si="3"/>
        <v>#N/A</v>
      </c>
      <c r="I33">
        <f t="shared" si="4"/>
        <v>0</v>
      </c>
    </row>
    <row r="34" spans="4:9" x14ac:dyDescent="0.45">
      <c r="D34" t="str">
        <f t="shared" si="0"/>
        <v>&lt;=150</v>
      </c>
      <c r="E34">
        <f t="shared" si="1"/>
        <v>0</v>
      </c>
      <c r="F34" s="1" t="e">
        <f>INDEX('App-Click Conversion by Rank'!$K$12:$S$31,MATCH(E34,'App-Click Conversion by Rank'!$J$12:$J$31,0),MATCH(D34,'App-Click Conversion by Rank'!$K$11:$S$11,0))</f>
        <v>#N/A</v>
      </c>
      <c r="G34" s="3" t="e">
        <f t="shared" si="2"/>
        <v>#N/A</v>
      </c>
      <c r="H34" s="5" t="e">
        <f t="shared" si="3"/>
        <v>#N/A</v>
      </c>
      <c r="I34">
        <f t="shared" si="4"/>
        <v>0</v>
      </c>
    </row>
    <row r="35" spans="4:9" x14ac:dyDescent="0.45">
      <c r="D35" t="str">
        <f t="shared" si="0"/>
        <v>&lt;=150</v>
      </c>
      <c r="E35">
        <f t="shared" si="1"/>
        <v>0</v>
      </c>
      <c r="F35" s="1" t="e">
        <f>INDEX('App-Click Conversion by Rank'!$K$12:$S$31,MATCH(E35,'App-Click Conversion by Rank'!$J$12:$J$31,0),MATCH(D35,'App-Click Conversion by Rank'!$K$11:$S$11,0))</f>
        <v>#N/A</v>
      </c>
      <c r="G35" s="3" t="e">
        <f t="shared" si="2"/>
        <v>#N/A</v>
      </c>
      <c r="H35" s="5" t="e">
        <f t="shared" si="3"/>
        <v>#N/A</v>
      </c>
      <c r="I35">
        <f t="shared" si="4"/>
        <v>0</v>
      </c>
    </row>
    <row r="36" spans="4:9" x14ac:dyDescent="0.45">
      <c r="D36" t="str">
        <f t="shared" si="0"/>
        <v>&lt;=150</v>
      </c>
      <c r="E36">
        <f t="shared" si="1"/>
        <v>0</v>
      </c>
      <c r="F36" s="1" t="e">
        <f>INDEX('App-Click Conversion by Rank'!$K$12:$S$31,MATCH(E36,'App-Click Conversion by Rank'!$J$12:$J$31,0),MATCH(D36,'App-Click Conversion by Rank'!$K$11:$S$11,0))</f>
        <v>#N/A</v>
      </c>
      <c r="G36" s="3" t="e">
        <f t="shared" si="2"/>
        <v>#N/A</v>
      </c>
      <c r="H36" s="5" t="e">
        <f t="shared" si="3"/>
        <v>#N/A</v>
      </c>
      <c r="I36">
        <f t="shared" si="4"/>
        <v>0</v>
      </c>
    </row>
    <row r="37" spans="4:9" x14ac:dyDescent="0.45">
      <c r="D37" t="str">
        <f t="shared" si="0"/>
        <v>&lt;=150</v>
      </c>
      <c r="E37">
        <f t="shared" si="1"/>
        <v>0</v>
      </c>
      <c r="F37" s="1" t="e">
        <f>INDEX('App-Click Conversion by Rank'!$K$12:$S$31,MATCH(E37,'App-Click Conversion by Rank'!$J$12:$J$31,0),MATCH(D37,'App-Click Conversion by Rank'!$K$11:$S$11,0))</f>
        <v>#N/A</v>
      </c>
      <c r="G37" s="3" t="e">
        <f t="shared" si="2"/>
        <v>#N/A</v>
      </c>
      <c r="H37" s="5" t="e">
        <f t="shared" si="3"/>
        <v>#N/A</v>
      </c>
      <c r="I37">
        <f t="shared" si="4"/>
        <v>0</v>
      </c>
    </row>
    <row r="38" spans="4:9" x14ac:dyDescent="0.45">
      <c r="D38" t="str">
        <f t="shared" si="0"/>
        <v>&lt;=150</v>
      </c>
      <c r="E38">
        <f t="shared" si="1"/>
        <v>0</v>
      </c>
      <c r="F38" s="1" t="e">
        <f>INDEX('App-Click Conversion by Rank'!$K$12:$S$31,MATCH(E38,'App-Click Conversion by Rank'!$J$12:$J$31,0),MATCH(D38,'App-Click Conversion by Rank'!$K$11:$S$11,0))</f>
        <v>#N/A</v>
      </c>
      <c r="G38" s="3" t="e">
        <f t="shared" si="2"/>
        <v>#N/A</v>
      </c>
      <c r="H38" s="5" t="e">
        <f t="shared" si="3"/>
        <v>#N/A</v>
      </c>
      <c r="I38">
        <f t="shared" si="4"/>
        <v>0</v>
      </c>
    </row>
    <row r="39" spans="4:9" x14ac:dyDescent="0.45">
      <c r="D39" t="str">
        <f t="shared" si="0"/>
        <v>&lt;=150</v>
      </c>
      <c r="E39">
        <f t="shared" si="1"/>
        <v>0</v>
      </c>
      <c r="F39" s="1" t="e">
        <f>INDEX('App-Click Conversion by Rank'!$K$12:$S$31,MATCH(E39,'App-Click Conversion by Rank'!$J$12:$J$31,0),MATCH(D39,'App-Click Conversion by Rank'!$K$11:$S$11,0))</f>
        <v>#N/A</v>
      </c>
      <c r="G39" s="3" t="e">
        <f t="shared" si="2"/>
        <v>#N/A</v>
      </c>
      <c r="H39" s="5" t="e">
        <f t="shared" si="3"/>
        <v>#N/A</v>
      </c>
      <c r="I39">
        <f t="shared" si="4"/>
        <v>0</v>
      </c>
    </row>
    <row r="40" spans="4:9" x14ac:dyDescent="0.45">
      <c r="D40" t="str">
        <f t="shared" si="0"/>
        <v>&lt;=150</v>
      </c>
      <c r="E40">
        <f t="shared" si="1"/>
        <v>0</v>
      </c>
      <c r="F40" s="1" t="e">
        <f>INDEX('App-Click Conversion by Rank'!$K$12:$S$31,MATCH(E40,'App-Click Conversion by Rank'!$J$12:$J$31,0),MATCH(D40,'App-Click Conversion by Rank'!$K$11:$S$11,0))</f>
        <v>#N/A</v>
      </c>
      <c r="G40" s="3" t="e">
        <f t="shared" si="2"/>
        <v>#N/A</v>
      </c>
      <c r="H40" s="5" t="e">
        <f t="shared" si="3"/>
        <v>#N/A</v>
      </c>
      <c r="I40">
        <f t="shared" si="4"/>
        <v>0</v>
      </c>
    </row>
    <row r="41" spans="4:9" x14ac:dyDescent="0.45">
      <c r="D41" t="str">
        <f t="shared" si="0"/>
        <v>&lt;=150</v>
      </c>
      <c r="E41">
        <f t="shared" si="1"/>
        <v>0</v>
      </c>
      <c r="F41" s="1" t="e">
        <f>INDEX('App-Click Conversion by Rank'!$K$12:$S$31,MATCH(E41,'App-Click Conversion by Rank'!$J$12:$J$31,0),MATCH(D41,'App-Click Conversion by Rank'!$K$11:$S$11,0))</f>
        <v>#N/A</v>
      </c>
      <c r="G41" s="3" t="e">
        <f t="shared" si="2"/>
        <v>#N/A</v>
      </c>
      <c r="H41" s="5" t="e">
        <f t="shared" si="3"/>
        <v>#N/A</v>
      </c>
      <c r="I41">
        <f t="shared" si="4"/>
        <v>0</v>
      </c>
    </row>
    <row r="42" spans="4:9" x14ac:dyDescent="0.45">
      <c r="D42" t="str">
        <f t="shared" si="0"/>
        <v>&lt;=150</v>
      </c>
      <c r="E42">
        <f t="shared" si="1"/>
        <v>0</v>
      </c>
      <c r="F42" s="1" t="e">
        <f>INDEX('App-Click Conversion by Rank'!$K$12:$S$31,MATCH(E42,'App-Click Conversion by Rank'!$J$12:$J$31,0),MATCH(D42,'App-Click Conversion by Rank'!$K$11:$S$11,0))</f>
        <v>#N/A</v>
      </c>
      <c r="G42" s="3" t="e">
        <f t="shared" si="2"/>
        <v>#N/A</v>
      </c>
      <c r="H42" s="5" t="e">
        <f t="shared" si="3"/>
        <v>#N/A</v>
      </c>
      <c r="I42">
        <f t="shared" si="4"/>
        <v>0</v>
      </c>
    </row>
    <row r="43" spans="4:9" x14ac:dyDescent="0.45">
      <c r="D43" t="str">
        <f t="shared" si="0"/>
        <v>&lt;=150</v>
      </c>
      <c r="E43">
        <f t="shared" si="1"/>
        <v>0</v>
      </c>
      <c r="F43" s="1" t="e">
        <f>INDEX('App-Click Conversion by Rank'!$K$12:$S$31,MATCH(E43,'App-Click Conversion by Rank'!$J$12:$J$31,0),MATCH(D43,'App-Click Conversion by Rank'!$K$11:$S$11,0))</f>
        <v>#N/A</v>
      </c>
      <c r="G43" s="3" t="e">
        <f t="shared" si="2"/>
        <v>#N/A</v>
      </c>
      <c r="H43" s="5" t="e">
        <f t="shared" si="3"/>
        <v>#N/A</v>
      </c>
      <c r="I43">
        <f t="shared" si="4"/>
        <v>0</v>
      </c>
    </row>
    <row r="44" spans="4:9" x14ac:dyDescent="0.45">
      <c r="D44" t="str">
        <f t="shared" si="0"/>
        <v>&lt;=150</v>
      </c>
      <c r="E44">
        <f t="shared" si="1"/>
        <v>0</v>
      </c>
      <c r="F44" s="1" t="e">
        <f>INDEX('App-Click Conversion by Rank'!$K$12:$S$31,MATCH(E44,'App-Click Conversion by Rank'!$J$12:$J$31,0),MATCH(D44,'App-Click Conversion by Rank'!$K$11:$S$11,0))</f>
        <v>#N/A</v>
      </c>
      <c r="G44" s="3" t="e">
        <f t="shared" si="2"/>
        <v>#N/A</v>
      </c>
      <c r="H44" s="5" t="e">
        <f t="shared" si="3"/>
        <v>#N/A</v>
      </c>
      <c r="I44">
        <f t="shared" si="4"/>
        <v>0</v>
      </c>
    </row>
    <row r="45" spans="4:9" x14ac:dyDescent="0.45">
      <c r="D45" t="str">
        <f t="shared" si="0"/>
        <v>&lt;=150</v>
      </c>
      <c r="E45">
        <f t="shared" si="1"/>
        <v>0</v>
      </c>
      <c r="F45" s="1" t="e">
        <f>INDEX('App-Click Conversion by Rank'!$K$12:$S$31,MATCH(E45,'App-Click Conversion by Rank'!$J$12:$J$31,0),MATCH(D45,'App-Click Conversion by Rank'!$K$11:$S$11,0))</f>
        <v>#N/A</v>
      </c>
      <c r="G45" s="3" t="e">
        <f t="shared" si="2"/>
        <v>#N/A</v>
      </c>
      <c r="H45" s="5" t="e">
        <f t="shared" si="3"/>
        <v>#N/A</v>
      </c>
      <c r="I45">
        <f t="shared" si="4"/>
        <v>0</v>
      </c>
    </row>
    <row r="46" spans="4:9" x14ac:dyDescent="0.45">
      <c r="D46" t="str">
        <f t="shared" si="0"/>
        <v>&lt;=150</v>
      </c>
      <c r="E46">
        <f t="shared" si="1"/>
        <v>0</v>
      </c>
      <c r="F46" s="1" t="e">
        <f>INDEX('App-Click Conversion by Rank'!$K$12:$S$31,MATCH(E46,'App-Click Conversion by Rank'!$J$12:$J$31,0),MATCH(D46,'App-Click Conversion by Rank'!$K$11:$S$11,0))</f>
        <v>#N/A</v>
      </c>
      <c r="G46" s="3" t="e">
        <f t="shared" si="2"/>
        <v>#N/A</v>
      </c>
      <c r="H46" s="5" t="e">
        <f t="shared" si="3"/>
        <v>#N/A</v>
      </c>
      <c r="I46">
        <f t="shared" si="4"/>
        <v>0</v>
      </c>
    </row>
    <row r="47" spans="4:9" x14ac:dyDescent="0.45">
      <c r="D47" t="str">
        <f t="shared" si="0"/>
        <v>&lt;=150</v>
      </c>
      <c r="E47">
        <f t="shared" si="1"/>
        <v>0</v>
      </c>
      <c r="F47" s="1" t="e">
        <f>INDEX('App-Click Conversion by Rank'!$K$12:$S$31,MATCH(E47,'App-Click Conversion by Rank'!$J$12:$J$31,0),MATCH(D47,'App-Click Conversion by Rank'!$K$11:$S$11,0))</f>
        <v>#N/A</v>
      </c>
      <c r="G47" s="3" t="e">
        <f t="shared" si="2"/>
        <v>#N/A</v>
      </c>
      <c r="H47" s="5" t="e">
        <f t="shared" si="3"/>
        <v>#N/A</v>
      </c>
      <c r="I47">
        <f t="shared" si="4"/>
        <v>0</v>
      </c>
    </row>
    <row r="48" spans="4:9" x14ac:dyDescent="0.45">
      <c r="D48" t="str">
        <f t="shared" si="0"/>
        <v>&lt;=150</v>
      </c>
      <c r="E48">
        <f t="shared" si="1"/>
        <v>0</v>
      </c>
      <c r="F48" s="1" t="e">
        <f>INDEX('App-Click Conversion by Rank'!$K$12:$S$31,MATCH(E48,'App-Click Conversion by Rank'!$J$12:$J$31,0),MATCH(D48,'App-Click Conversion by Rank'!$K$11:$S$11,0))</f>
        <v>#N/A</v>
      </c>
      <c r="G48" s="3" t="e">
        <f t="shared" si="2"/>
        <v>#N/A</v>
      </c>
      <c r="H48" s="5" t="e">
        <f t="shared" si="3"/>
        <v>#N/A</v>
      </c>
      <c r="I48">
        <f t="shared" si="4"/>
        <v>0</v>
      </c>
    </row>
    <row r="49" spans="4:9" x14ac:dyDescent="0.45">
      <c r="D49" t="str">
        <f t="shared" si="0"/>
        <v>&lt;=150</v>
      </c>
      <c r="E49">
        <f t="shared" si="1"/>
        <v>0</v>
      </c>
      <c r="F49" s="1" t="e">
        <f>INDEX('App-Click Conversion by Rank'!$K$12:$S$31,MATCH(E49,'App-Click Conversion by Rank'!$J$12:$J$31,0),MATCH(D49,'App-Click Conversion by Rank'!$K$11:$S$11,0))</f>
        <v>#N/A</v>
      </c>
      <c r="G49" s="3" t="e">
        <f t="shared" si="2"/>
        <v>#N/A</v>
      </c>
      <c r="H49" s="5" t="e">
        <f t="shared" si="3"/>
        <v>#N/A</v>
      </c>
      <c r="I49">
        <f t="shared" si="4"/>
        <v>0</v>
      </c>
    </row>
    <row r="50" spans="4:9" x14ac:dyDescent="0.45">
      <c r="D50" t="str">
        <f t="shared" si="0"/>
        <v>&lt;=150</v>
      </c>
      <c r="E50">
        <f t="shared" si="1"/>
        <v>0</v>
      </c>
      <c r="F50" s="1" t="e">
        <f>INDEX('App-Click Conversion by Rank'!$K$12:$S$31,MATCH(E50,'App-Click Conversion by Rank'!$J$12:$J$31,0),MATCH(D50,'App-Click Conversion by Rank'!$K$11:$S$11,0))</f>
        <v>#N/A</v>
      </c>
      <c r="G50" s="3" t="e">
        <f t="shared" si="2"/>
        <v>#N/A</v>
      </c>
      <c r="H50" s="5" t="e">
        <f t="shared" si="3"/>
        <v>#N/A</v>
      </c>
      <c r="I50">
        <f t="shared" si="4"/>
        <v>0</v>
      </c>
    </row>
    <row r="51" spans="4:9" x14ac:dyDescent="0.45">
      <c r="D51" t="str">
        <f t="shared" si="0"/>
        <v>&lt;=150</v>
      </c>
      <c r="E51">
        <f t="shared" si="1"/>
        <v>0</v>
      </c>
      <c r="F51" s="1" t="e">
        <f>INDEX('App-Click Conversion by Rank'!$K$12:$S$31,MATCH(E51,'App-Click Conversion by Rank'!$J$12:$J$31,0),MATCH(D51,'App-Click Conversion by Rank'!$K$11:$S$11,0))</f>
        <v>#N/A</v>
      </c>
      <c r="G51" s="3" t="e">
        <f t="shared" si="2"/>
        <v>#N/A</v>
      </c>
      <c r="H51" s="5" t="e">
        <f t="shared" si="3"/>
        <v>#N/A</v>
      </c>
      <c r="I51">
        <f t="shared" si="4"/>
        <v>0</v>
      </c>
    </row>
    <row r="52" spans="4:9" x14ac:dyDescent="0.45">
      <c r="D52" t="str">
        <f t="shared" si="0"/>
        <v>&lt;=150</v>
      </c>
      <c r="E52">
        <f t="shared" si="1"/>
        <v>0</v>
      </c>
      <c r="F52" s="1" t="e">
        <f>INDEX('App-Click Conversion by Rank'!$K$12:$S$31,MATCH(E52,'App-Click Conversion by Rank'!$J$12:$J$31,0),MATCH(D52,'App-Click Conversion by Rank'!$K$11:$S$11,0))</f>
        <v>#N/A</v>
      </c>
      <c r="G52" s="3" t="e">
        <f t="shared" si="2"/>
        <v>#N/A</v>
      </c>
      <c r="H52" s="5" t="e">
        <f t="shared" si="3"/>
        <v>#N/A</v>
      </c>
      <c r="I52">
        <f t="shared" si="4"/>
        <v>0</v>
      </c>
    </row>
    <row r="53" spans="4:9" x14ac:dyDescent="0.45">
      <c r="D53" t="str">
        <f t="shared" si="0"/>
        <v>&lt;=150</v>
      </c>
      <c r="E53">
        <f t="shared" si="1"/>
        <v>0</v>
      </c>
      <c r="F53" s="1" t="e">
        <f>INDEX('App-Click Conversion by Rank'!$K$12:$S$31,MATCH(E53,'App-Click Conversion by Rank'!$J$12:$J$31,0),MATCH(D53,'App-Click Conversion by Rank'!$K$11:$S$11,0))</f>
        <v>#N/A</v>
      </c>
      <c r="G53" s="3" t="e">
        <f t="shared" si="2"/>
        <v>#N/A</v>
      </c>
      <c r="H53" s="5" t="e">
        <f t="shared" si="3"/>
        <v>#N/A</v>
      </c>
      <c r="I53">
        <f t="shared" si="4"/>
        <v>0</v>
      </c>
    </row>
    <row r="54" spans="4:9" x14ac:dyDescent="0.45">
      <c r="D54" t="str">
        <f t="shared" si="0"/>
        <v>&lt;=150</v>
      </c>
      <c r="E54">
        <f t="shared" si="1"/>
        <v>0</v>
      </c>
      <c r="F54" s="1" t="e">
        <f>INDEX('App-Click Conversion by Rank'!$K$12:$S$31,MATCH(E54,'App-Click Conversion by Rank'!$J$12:$J$31,0),MATCH(D54,'App-Click Conversion by Rank'!$K$11:$S$11,0))</f>
        <v>#N/A</v>
      </c>
      <c r="G54" s="3" t="e">
        <f t="shared" si="2"/>
        <v>#N/A</v>
      </c>
      <c r="H54" s="5" t="e">
        <f t="shared" si="3"/>
        <v>#N/A</v>
      </c>
      <c r="I54">
        <f t="shared" si="4"/>
        <v>0</v>
      </c>
    </row>
    <row r="55" spans="4:9" x14ac:dyDescent="0.45">
      <c r="D55" t="str">
        <f t="shared" si="0"/>
        <v>&lt;=150</v>
      </c>
      <c r="E55">
        <f t="shared" si="1"/>
        <v>0</v>
      </c>
      <c r="F55" s="1" t="e">
        <f>INDEX('App-Click Conversion by Rank'!$K$12:$S$31,MATCH(E55,'App-Click Conversion by Rank'!$J$12:$J$31,0),MATCH(D55,'App-Click Conversion by Rank'!$K$11:$S$11,0))</f>
        <v>#N/A</v>
      </c>
      <c r="G55" s="3" t="e">
        <f t="shared" si="2"/>
        <v>#N/A</v>
      </c>
      <c r="H55" s="5" t="e">
        <f t="shared" si="3"/>
        <v>#N/A</v>
      </c>
      <c r="I55">
        <f t="shared" si="4"/>
        <v>0</v>
      </c>
    </row>
    <row r="56" spans="4:9" x14ac:dyDescent="0.45">
      <c r="D56" t="str">
        <f t="shared" si="0"/>
        <v>&lt;=150</v>
      </c>
      <c r="E56">
        <f t="shared" si="1"/>
        <v>0</v>
      </c>
      <c r="F56" s="1" t="e">
        <f>INDEX('App-Click Conversion by Rank'!$K$12:$S$31,MATCH(E56,'App-Click Conversion by Rank'!$J$12:$J$31,0),MATCH(D56,'App-Click Conversion by Rank'!$K$11:$S$11,0))</f>
        <v>#N/A</v>
      </c>
      <c r="G56" s="3" t="e">
        <f t="shared" si="2"/>
        <v>#N/A</v>
      </c>
      <c r="H56" s="5" t="e">
        <f t="shared" si="3"/>
        <v>#N/A</v>
      </c>
      <c r="I56">
        <f t="shared" si="4"/>
        <v>0</v>
      </c>
    </row>
    <row r="57" spans="4:9" x14ac:dyDescent="0.45">
      <c r="D57" t="str">
        <f t="shared" si="0"/>
        <v>&lt;=150</v>
      </c>
      <c r="E57">
        <f t="shared" si="1"/>
        <v>0</v>
      </c>
      <c r="F57" s="1" t="e">
        <f>INDEX('App-Click Conversion by Rank'!$K$12:$S$31,MATCH(E57,'App-Click Conversion by Rank'!$J$12:$J$31,0),MATCH(D57,'App-Click Conversion by Rank'!$K$11:$S$11,0))</f>
        <v>#N/A</v>
      </c>
      <c r="G57" s="3" t="e">
        <f t="shared" si="2"/>
        <v>#N/A</v>
      </c>
      <c r="H57" s="5" t="e">
        <f t="shared" si="3"/>
        <v>#N/A</v>
      </c>
      <c r="I57">
        <f t="shared" si="4"/>
        <v>0</v>
      </c>
    </row>
    <row r="58" spans="4:9" x14ac:dyDescent="0.45">
      <c r="D58" t="str">
        <f t="shared" si="0"/>
        <v>&lt;=150</v>
      </c>
      <c r="E58">
        <f t="shared" si="1"/>
        <v>0</v>
      </c>
      <c r="F58" s="1" t="e">
        <f>INDEX('App-Click Conversion by Rank'!$K$12:$S$31,MATCH(E58,'App-Click Conversion by Rank'!$J$12:$J$31,0),MATCH(D58,'App-Click Conversion by Rank'!$K$11:$S$11,0))</f>
        <v>#N/A</v>
      </c>
      <c r="G58" s="3" t="e">
        <f t="shared" si="2"/>
        <v>#N/A</v>
      </c>
      <c r="H58" s="5" t="e">
        <f t="shared" si="3"/>
        <v>#N/A</v>
      </c>
      <c r="I58">
        <f t="shared" si="4"/>
        <v>0</v>
      </c>
    </row>
    <row r="59" spans="4:9" x14ac:dyDescent="0.45">
      <c r="D59" t="str">
        <f t="shared" si="0"/>
        <v>&lt;=150</v>
      </c>
      <c r="E59">
        <f t="shared" si="1"/>
        <v>0</v>
      </c>
      <c r="F59" s="1" t="e">
        <f>INDEX('App-Click Conversion by Rank'!$K$12:$S$31,MATCH(E59,'App-Click Conversion by Rank'!$J$12:$J$31,0),MATCH(D59,'App-Click Conversion by Rank'!$K$11:$S$11,0))</f>
        <v>#N/A</v>
      </c>
      <c r="G59" s="3" t="e">
        <f t="shared" si="2"/>
        <v>#N/A</v>
      </c>
      <c r="H59" s="5" t="e">
        <f t="shared" si="3"/>
        <v>#N/A</v>
      </c>
      <c r="I59">
        <f t="shared" si="4"/>
        <v>0</v>
      </c>
    </row>
    <row r="60" spans="4:9" x14ac:dyDescent="0.45">
      <c r="D60" t="str">
        <f t="shared" si="0"/>
        <v>&lt;=150</v>
      </c>
      <c r="E60">
        <f t="shared" si="1"/>
        <v>0</v>
      </c>
      <c r="F60" s="1" t="e">
        <f>INDEX('App-Click Conversion by Rank'!$K$12:$S$31,MATCH(E60,'App-Click Conversion by Rank'!$J$12:$J$31,0),MATCH(D60,'App-Click Conversion by Rank'!$K$11:$S$11,0))</f>
        <v>#N/A</v>
      </c>
      <c r="G60" s="3" t="e">
        <f t="shared" si="2"/>
        <v>#N/A</v>
      </c>
      <c r="H60" s="5" t="e">
        <f t="shared" si="3"/>
        <v>#N/A</v>
      </c>
      <c r="I60">
        <f t="shared" si="4"/>
        <v>0</v>
      </c>
    </row>
    <row r="61" spans="4:9" x14ac:dyDescent="0.45">
      <c r="D61" t="str">
        <f t="shared" si="0"/>
        <v>&lt;=150</v>
      </c>
      <c r="E61">
        <f t="shared" si="1"/>
        <v>0</v>
      </c>
      <c r="F61" s="1" t="e">
        <f>INDEX('App-Click Conversion by Rank'!$K$12:$S$31,MATCH(E61,'App-Click Conversion by Rank'!$J$12:$J$31,0),MATCH(D61,'App-Click Conversion by Rank'!$K$11:$S$11,0))</f>
        <v>#N/A</v>
      </c>
      <c r="G61" s="3" t="e">
        <f t="shared" si="2"/>
        <v>#N/A</v>
      </c>
      <c r="H61" s="5" t="e">
        <f t="shared" si="3"/>
        <v>#N/A</v>
      </c>
      <c r="I61">
        <f t="shared" si="4"/>
        <v>0</v>
      </c>
    </row>
    <row r="62" spans="4:9" x14ac:dyDescent="0.45">
      <c r="D62" t="str">
        <f t="shared" si="0"/>
        <v>&lt;=150</v>
      </c>
      <c r="E62">
        <f t="shared" si="1"/>
        <v>0</v>
      </c>
      <c r="F62" s="1" t="e">
        <f>INDEX('App-Click Conversion by Rank'!$K$12:$S$31,MATCH(E62,'App-Click Conversion by Rank'!$J$12:$J$31,0),MATCH(D62,'App-Click Conversion by Rank'!$K$11:$S$11,0))</f>
        <v>#N/A</v>
      </c>
      <c r="G62" s="3" t="e">
        <f t="shared" si="2"/>
        <v>#N/A</v>
      </c>
      <c r="H62" s="5" t="e">
        <f t="shared" si="3"/>
        <v>#N/A</v>
      </c>
      <c r="I62">
        <f t="shared" si="4"/>
        <v>0</v>
      </c>
    </row>
    <row r="63" spans="4:9" x14ac:dyDescent="0.45">
      <c r="D63" t="str">
        <f t="shared" si="0"/>
        <v>&lt;=150</v>
      </c>
      <c r="E63">
        <f t="shared" si="1"/>
        <v>0</v>
      </c>
      <c r="F63" s="1" t="e">
        <f>INDEX('App-Click Conversion by Rank'!$K$12:$S$31,MATCH(E63,'App-Click Conversion by Rank'!$J$12:$J$31,0),MATCH(D63,'App-Click Conversion by Rank'!$K$11:$S$11,0))</f>
        <v>#N/A</v>
      </c>
      <c r="G63" s="3" t="e">
        <f t="shared" si="2"/>
        <v>#N/A</v>
      </c>
      <c r="H63" s="5" t="e">
        <f t="shared" si="3"/>
        <v>#N/A</v>
      </c>
      <c r="I63">
        <f t="shared" si="4"/>
        <v>0</v>
      </c>
    </row>
    <row r="64" spans="4:9" x14ac:dyDescent="0.45">
      <c r="D64" t="str">
        <f t="shared" si="0"/>
        <v>&lt;=150</v>
      </c>
      <c r="E64">
        <f t="shared" si="1"/>
        <v>0</v>
      </c>
      <c r="F64" s="1" t="e">
        <f>INDEX('App-Click Conversion by Rank'!$K$12:$S$31,MATCH(E64,'App-Click Conversion by Rank'!$J$12:$J$31,0),MATCH(D64,'App-Click Conversion by Rank'!$K$11:$S$11,0))</f>
        <v>#N/A</v>
      </c>
      <c r="G64" s="3" t="e">
        <f t="shared" si="2"/>
        <v>#N/A</v>
      </c>
      <c r="H64" s="5" t="e">
        <f t="shared" si="3"/>
        <v>#N/A</v>
      </c>
      <c r="I64">
        <f t="shared" si="4"/>
        <v>0</v>
      </c>
    </row>
    <row r="65" spans="4:9" x14ac:dyDescent="0.45">
      <c r="D65" t="str">
        <f t="shared" si="0"/>
        <v>&lt;=150</v>
      </c>
      <c r="E65">
        <f t="shared" si="1"/>
        <v>0</v>
      </c>
      <c r="F65" s="1" t="e">
        <f>INDEX('App-Click Conversion by Rank'!$K$12:$S$31,MATCH(E65,'App-Click Conversion by Rank'!$J$12:$J$31,0),MATCH(D65,'App-Click Conversion by Rank'!$K$11:$S$11,0))</f>
        <v>#N/A</v>
      </c>
      <c r="G65" s="3" t="e">
        <f t="shared" si="2"/>
        <v>#N/A</v>
      </c>
      <c r="H65" s="5" t="e">
        <f t="shared" si="3"/>
        <v>#N/A</v>
      </c>
      <c r="I65">
        <f t="shared" si="4"/>
        <v>0</v>
      </c>
    </row>
    <row r="66" spans="4:9" x14ac:dyDescent="0.45">
      <c r="D66" t="str">
        <f t="shared" si="0"/>
        <v>&lt;=150</v>
      </c>
      <c r="E66">
        <f t="shared" si="1"/>
        <v>0</v>
      </c>
      <c r="F66" s="1" t="e">
        <f>INDEX('App-Click Conversion by Rank'!$K$12:$S$31,MATCH(E66,'App-Click Conversion by Rank'!$J$12:$J$31,0),MATCH(D66,'App-Click Conversion by Rank'!$K$11:$S$11,0))</f>
        <v>#N/A</v>
      </c>
      <c r="G66" s="3" t="e">
        <f t="shared" si="2"/>
        <v>#N/A</v>
      </c>
      <c r="H66" s="5" t="e">
        <f t="shared" si="3"/>
        <v>#N/A</v>
      </c>
      <c r="I66">
        <f t="shared" si="4"/>
        <v>0</v>
      </c>
    </row>
    <row r="67" spans="4:9" x14ac:dyDescent="0.45">
      <c r="D67" t="str">
        <f t="shared" ref="D67:D130" si="5">IF(B67&lt;=150,"&lt;=150",IF(B67&gt;500,"501+",B67))</f>
        <v>&lt;=150</v>
      </c>
      <c r="E67">
        <f t="shared" ref="E67:E130" si="6">IF(A67&gt;=20,"20+",A67)</f>
        <v>0</v>
      </c>
      <c r="F67" s="1" t="e">
        <f>INDEX('App-Click Conversion by Rank'!$K$12:$S$31,MATCH(E67,'App-Click Conversion by Rank'!$J$12:$J$31,0),MATCH(D67,'App-Click Conversion by Rank'!$K$11:$S$11,0))</f>
        <v>#N/A</v>
      </c>
      <c r="G67" s="3" t="e">
        <f t="shared" ref="G67:G130" si="7">C67*F67</f>
        <v>#N/A</v>
      </c>
      <c r="H67" s="5" t="e">
        <f t="shared" ref="H67:H130" si="8">G67*A67</f>
        <v>#N/A</v>
      </c>
      <c r="I67">
        <f t="shared" ref="I67:I130" si="9">C67*A67</f>
        <v>0</v>
      </c>
    </row>
    <row r="68" spans="4:9" x14ac:dyDescent="0.45">
      <c r="D68" t="str">
        <f t="shared" si="5"/>
        <v>&lt;=150</v>
      </c>
      <c r="E68">
        <f t="shared" si="6"/>
        <v>0</v>
      </c>
      <c r="F68" s="1" t="e">
        <f>INDEX('App-Click Conversion by Rank'!$K$12:$S$31,MATCH(E68,'App-Click Conversion by Rank'!$J$12:$J$31,0),MATCH(D68,'App-Click Conversion by Rank'!$K$11:$S$11,0))</f>
        <v>#N/A</v>
      </c>
      <c r="G68" s="3" t="e">
        <f t="shared" si="7"/>
        <v>#N/A</v>
      </c>
      <c r="H68" s="5" t="e">
        <f t="shared" si="8"/>
        <v>#N/A</v>
      </c>
      <c r="I68">
        <f t="shared" si="9"/>
        <v>0</v>
      </c>
    </row>
    <row r="69" spans="4:9" x14ac:dyDescent="0.45">
      <c r="D69" t="str">
        <f t="shared" si="5"/>
        <v>&lt;=150</v>
      </c>
      <c r="E69">
        <f t="shared" si="6"/>
        <v>0</v>
      </c>
      <c r="F69" s="1" t="e">
        <f>INDEX('App-Click Conversion by Rank'!$K$12:$S$31,MATCH(E69,'App-Click Conversion by Rank'!$J$12:$J$31,0),MATCH(D69,'App-Click Conversion by Rank'!$K$11:$S$11,0))</f>
        <v>#N/A</v>
      </c>
      <c r="G69" s="3" t="e">
        <f t="shared" si="7"/>
        <v>#N/A</v>
      </c>
      <c r="H69" s="5" t="e">
        <f t="shared" si="8"/>
        <v>#N/A</v>
      </c>
      <c r="I69">
        <f t="shared" si="9"/>
        <v>0</v>
      </c>
    </row>
    <row r="70" spans="4:9" x14ac:dyDescent="0.45">
      <c r="D70" t="str">
        <f t="shared" si="5"/>
        <v>&lt;=150</v>
      </c>
      <c r="E70">
        <f t="shared" si="6"/>
        <v>0</v>
      </c>
      <c r="F70" s="1" t="e">
        <f>INDEX('App-Click Conversion by Rank'!$K$12:$S$31,MATCH(E70,'App-Click Conversion by Rank'!$J$12:$J$31,0),MATCH(D70,'App-Click Conversion by Rank'!$K$11:$S$11,0))</f>
        <v>#N/A</v>
      </c>
      <c r="G70" s="3" t="e">
        <f t="shared" si="7"/>
        <v>#N/A</v>
      </c>
      <c r="H70" s="5" t="e">
        <f t="shared" si="8"/>
        <v>#N/A</v>
      </c>
      <c r="I70">
        <f t="shared" si="9"/>
        <v>0</v>
      </c>
    </row>
    <row r="71" spans="4:9" x14ac:dyDescent="0.45">
      <c r="D71" t="str">
        <f t="shared" si="5"/>
        <v>&lt;=150</v>
      </c>
      <c r="E71">
        <f t="shared" si="6"/>
        <v>0</v>
      </c>
      <c r="F71" s="1" t="e">
        <f>INDEX('App-Click Conversion by Rank'!$K$12:$S$31,MATCH(E71,'App-Click Conversion by Rank'!$J$12:$J$31,0),MATCH(D71,'App-Click Conversion by Rank'!$K$11:$S$11,0))</f>
        <v>#N/A</v>
      </c>
      <c r="G71" s="3" t="e">
        <f t="shared" si="7"/>
        <v>#N/A</v>
      </c>
      <c r="H71" s="5" t="e">
        <f t="shared" si="8"/>
        <v>#N/A</v>
      </c>
      <c r="I71">
        <f t="shared" si="9"/>
        <v>0</v>
      </c>
    </row>
    <row r="72" spans="4:9" x14ac:dyDescent="0.45">
      <c r="D72" t="str">
        <f t="shared" si="5"/>
        <v>&lt;=150</v>
      </c>
      <c r="E72">
        <f t="shared" si="6"/>
        <v>0</v>
      </c>
      <c r="F72" s="1" t="e">
        <f>INDEX('App-Click Conversion by Rank'!$K$12:$S$31,MATCH(E72,'App-Click Conversion by Rank'!$J$12:$J$31,0),MATCH(D72,'App-Click Conversion by Rank'!$K$11:$S$11,0))</f>
        <v>#N/A</v>
      </c>
      <c r="G72" s="3" t="e">
        <f t="shared" si="7"/>
        <v>#N/A</v>
      </c>
      <c r="H72" s="5" t="e">
        <f t="shared" si="8"/>
        <v>#N/A</v>
      </c>
      <c r="I72">
        <f t="shared" si="9"/>
        <v>0</v>
      </c>
    </row>
    <row r="73" spans="4:9" x14ac:dyDescent="0.45">
      <c r="D73" t="str">
        <f t="shared" si="5"/>
        <v>&lt;=150</v>
      </c>
      <c r="E73">
        <f t="shared" si="6"/>
        <v>0</v>
      </c>
      <c r="F73" s="1" t="e">
        <f>INDEX('App-Click Conversion by Rank'!$K$12:$S$31,MATCH(E73,'App-Click Conversion by Rank'!$J$12:$J$31,0),MATCH(D73,'App-Click Conversion by Rank'!$K$11:$S$11,0))</f>
        <v>#N/A</v>
      </c>
      <c r="G73" s="3" t="e">
        <f t="shared" si="7"/>
        <v>#N/A</v>
      </c>
      <c r="H73" s="5" t="e">
        <f t="shared" si="8"/>
        <v>#N/A</v>
      </c>
      <c r="I73">
        <f t="shared" si="9"/>
        <v>0</v>
      </c>
    </row>
    <row r="74" spans="4:9" x14ac:dyDescent="0.45">
      <c r="D74" t="str">
        <f t="shared" si="5"/>
        <v>&lt;=150</v>
      </c>
      <c r="E74">
        <f t="shared" si="6"/>
        <v>0</v>
      </c>
      <c r="F74" s="1" t="e">
        <f>INDEX('App-Click Conversion by Rank'!$K$12:$S$31,MATCH(E74,'App-Click Conversion by Rank'!$J$12:$J$31,0),MATCH(D74,'App-Click Conversion by Rank'!$K$11:$S$11,0))</f>
        <v>#N/A</v>
      </c>
      <c r="G74" s="3" t="e">
        <f t="shared" si="7"/>
        <v>#N/A</v>
      </c>
      <c r="H74" s="5" t="e">
        <f t="shared" si="8"/>
        <v>#N/A</v>
      </c>
      <c r="I74">
        <f t="shared" si="9"/>
        <v>0</v>
      </c>
    </row>
    <row r="75" spans="4:9" x14ac:dyDescent="0.45">
      <c r="D75" t="str">
        <f t="shared" si="5"/>
        <v>&lt;=150</v>
      </c>
      <c r="E75">
        <f t="shared" si="6"/>
        <v>0</v>
      </c>
      <c r="F75" s="1" t="e">
        <f>INDEX('App-Click Conversion by Rank'!$K$12:$S$31,MATCH(E75,'App-Click Conversion by Rank'!$J$12:$J$31,0),MATCH(D75,'App-Click Conversion by Rank'!$K$11:$S$11,0))</f>
        <v>#N/A</v>
      </c>
      <c r="G75" s="3" t="e">
        <f t="shared" si="7"/>
        <v>#N/A</v>
      </c>
      <c r="H75" s="5" t="e">
        <f t="shared" si="8"/>
        <v>#N/A</v>
      </c>
      <c r="I75">
        <f t="shared" si="9"/>
        <v>0</v>
      </c>
    </row>
    <row r="76" spans="4:9" x14ac:dyDescent="0.45">
      <c r="D76" t="str">
        <f t="shared" si="5"/>
        <v>&lt;=150</v>
      </c>
      <c r="E76">
        <f t="shared" si="6"/>
        <v>0</v>
      </c>
      <c r="F76" s="1" t="e">
        <f>INDEX('App-Click Conversion by Rank'!$K$12:$S$31,MATCH(E76,'App-Click Conversion by Rank'!$J$12:$J$31,0),MATCH(D76,'App-Click Conversion by Rank'!$K$11:$S$11,0))</f>
        <v>#N/A</v>
      </c>
      <c r="G76" s="3" t="e">
        <f t="shared" si="7"/>
        <v>#N/A</v>
      </c>
      <c r="H76" s="5" t="e">
        <f t="shared" si="8"/>
        <v>#N/A</v>
      </c>
      <c r="I76">
        <f t="shared" si="9"/>
        <v>0</v>
      </c>
    </row>
    <row r="77" spans="4:9" x14ac:dyDescent="0.45">
      <c r="D77" t="str">
        <f t="shared" si="5"/>
        <v>&lt;=150</v>
      </c>
      <c r="E77">
        <f t="shared" si="6"/>
        <v>0</v>
      </c>
      <c r="F77" s="1" t="e">
        <f>INDEX('App-Click Conversion by Rank'!$K$12:$S$31,MATCH(E77,'App-Click Conversion by Rank'!$J$12:$J$31,0),MATCH(D77,'App-Click Conversion by Rank'!$K$11:$S$11,0))</f>
        <v>#N/A</v>
      </c>
      <c r="G77" s="3" t="e">
        <f t="shared" si="7"/>
        <v>#N/A</v>
      </c>
      <c r="H77" s="5" t="e">
        <f t="shared" si="8"/>
        <v>#N/A</v>
      </c>
      <c r="I77">
        <f t="shared" si="9"/>
        <v>0</v>
      </c>
    </row>
    <row r="78" spans="4:9" x14ac:dyDescent="0.45">
      <c r="D78" t="str">
        <f t="shared" si="5"/>
        <v>&lt;=150</v>
      </c>
      <c r="E78">
        <f t="shared" si="6"/>
        <v>0</v>
      </c>
      <c r="F78" s="1" t="e">
        <f>INDEX('App-Click Conversion by Rank'!$K$12:$S$31,MATCH(E78,'App-Click Conversion by Rank'!$J$12:$J$31,0),MATCH(D78,'App-Click Conversion by Rank'!$K$11:$S$11,0))</f>
        <v>#N/A</v>
      </c>
      <c r="G78" s="3" t="e">
        <f t="shared" si="7"/>
        <v>#N/A</v>
      </c>
      <c r="H78" s="5" t="e">
        <f t="shared" si="8"/>
        <v>#N/A</v>
      </c>
      <c r="I78">
        <f t="shared" si="9"/>
        <v>0</v>
      </c>
    </row>
    <row r="79" spans="4:9" x14ac:dyDescent="0.45">
      <c r="D79" t="str">
        <f t="shared" si="5"/>
        <v>&lt;=150</v>
      </c>
      <c r="E79">
        <f t="shared" si="6"/>
        <v>0</v>
      </c>
      <c r="F79" s="1" t="e">
        <f>INDEX('App-Click Conversion by Rank'!$K$12:$S$31,MATCH(E79,'App-Click Conversion by Rank'!$J$12:$J$31,0),MATCH(D79,'App-Click Conversion by Rank'!$K$11:$S$11,0))</f>
        <v>#N/A</v>
      </c>
      <c r="G79" s="3" t="e">
        <f t="shared" si="7"/>
        <v>#N/A</v>
      </c>
      <c r="H79" s="5" t="e">
        <f t="shared" si="8"/>
        <v>#N/A</v>
      </c>
      <c r="I79">
        <f t="shared" si="9"/>
        <v>0</v>
      </c>
    </row>
    <row r="80" spans="4:9" x14ac:dyDescent="0.45">
      <c r="D80" t="str">
        <f t="shared" si="5"/>
        <v>&lt;=150</v>
      </c>
      <c r="E80">
        <f t="shared" si="6"/>
        <v>0</v>
      </c>
      <c r="F80" s="1" t="e">
        <f>INDEX('App-Click Conversion by Rank'!$K$12:$S$31,MATCH(E80,'App-Click Conversion by Rank'!$J$12:$J$31,0),MATCH(D80,'App-Click Conversion by Rank'!$K$11:$S$11,0))</f>
        <v>#N/A</v>
      </c>
      <c r="G80" s="3" t="e">
        <f t="shared" si="7"/>
        <v>#N/A</v>
      </c>
      <c r="H80" s="5" t="e">
        <f t="shared" si="8"/>
        <v>#N/A</v>
      </c>
      <c r="I80">
        <f t="shared" si="9"/>
        <v>0</v>
      </c>
    </row>
    <row r="81" spans="4:9" x14ac:dyDescent="0.45">
      <c r="D81" t="str">
        <f t="shared" si="5"/>
        <v>&lt;=150</v>
      </c>
      <c r="E81">
        <f t="shared" si="6"/>
        <v>0</v>
      </c>
      <c r="F81" s="1" t="e">
        <f>INDEX('App-Click Conversion by Rank'!$K$12:$S$31,MATCH(E81,'App-Click Conversion by Rank'!$J$12:$J$31,0),MATCH(D81,'App-Click Conversion by Rank'!$K$11:$S$11,0))</f>
        <v>#N/A</v>
      </c>
      <c r="G81" s="3" t="e">
        <f t="shared" si="7"/>
        <v>#N/A</v>
      </c>
      <c r="H81" s="5" t="e">
        <f t="shared" si="8"/>
        <v>#N/A</v>
      </c>
      <c r="I81">
        <f t="shared" si="9"/>
        <v>0</v>
      </c>
    </row>
    <row r="82" spans="4:9" x14ac:dyDescent="0.45">
      <c r="D82" t="str">
        <f t="shared" si="5"/>
        <v>&lt;=150</v>
      </c>
      <c r="E82">
        <f t="shared" si="6"/>
        <v>0</v>
      </c>
      <c r="F82" s="1" t="e">
        <f>INDEX('App-Click Conversion by Rank'!$K$12:$S$31,MATCH(E82,'App-Click Conversion by Rank'!$J$12:$J$31,0),MATCH(D82,'App-Click Conversion by Rank'!$K$11:$S$11,0))</f>
        <v>#N/A</v>
      </c>
      <c r="G82" s="3" t="e">
        <f t="shared" si="7"/>
        <v>#N/A</v>
      </c>
      <c r="H82" s="5" t="e">
        <f t="shared" si="8"/>
        <v>#N/A</v>
      </c>
      <c r="I82">
        <f t="shared" si="9"/>
        <v>0</v>
      </c>
    </row>
    <row r="83" spans="4:9" x14ac:dyDescent="0.45">
      <c r="D83" t="str">
        <f t="shared" si="5"/>
        <v>&lt;=150</v>
      </c>
      <c r="E83">
        <f t="shared" si="6"/>
        <v>0</v>
      </c>
      <c r="F83" s="1" t="e">
        <f>INDEX('App-Click Conversion by Rank'!$K$12:$S$31,MATCH(E83,'App-Click Conversion by Rank'!$J$12:$J$31,0),MATCH(D83,'App-Click Conversion by Rank'!$K$11:$S$11,0))</f>
        <v>#N/A</v>
      </c>
      <c r="G83" s="3" t="e">
        <f t="shared" si="7"/>
        <v>#N/A</v>
      </c>
      <c r="H83" s="5" t="e">
        <f t="shared" si="8"/>
        <v>#N/A</v>
      </c>
      <c r="I83">
        <f t="shared" si="9"/>
        <v>0</v>
      </c>
    </row>
    <row r="84" spans="4:9" x14ac:dyDescent="0.45">
      <c r="D84" t="str">
        <f t="shared" si="5"/>
        <v>&lt;=150</v>
      </c>
      <c r="E84">
        <f t="shared" si="6"/>
        <v>0</v>
      </c>
      <c r="F84" s="1" t="e">
        <f>INDEX('App-Click Conversion by Rank'!$K$12:$S$31,MATCH(E84,'App-Click Conversion by Rank'!$J$12:$J$31,0),MATCH(D84,'App-Click Conversion by Rank'!$K$11:$S$11,0))</f>
        <v>#N/A</v>
      </c>
      <c r="G84" s="3" t="e">
        <f t="shared" si="7"/>
        <v>#N/A</v>
      </c>
      <c r="H84" s="5" t="e">
        <f t="shared" si="8"/>
        <v>#N/A</v>
      </c>
      <c r="I84">
        <f t="shared" si="9"/>
        <v>0</v>
      </c>
    </row>
    <row r="85" spans="4:9" x14ac:dyDescent="0.45">
      <c r="D85" t="str">
        <f t="shared" si="5"/>
        <v>&lt;=150</v>
      </c>
      <c r="E85">
        <f t="shared" si="6"/>
        <v>0</v>
      </c>
      <c r="F85" s="1" t="e">
        <f>INDEX('App-Click Conversion by Rank'!$K$12:$S$31,MATCH(E85,'App-Click Conversion by Rank'!$J$12:$J$31,0),MATCH(D85,'App-Click Conversion by Rank'!$K$11:$S$11,0))</f>
        <v>#N/A</v>
      </c>
      <c r="G85" s="3" t="e">
        <f t="shared" si="7"/>
        <v>#N/A</v>
      </c>
      <c r="H85" s="5" t="e">
        <f t="shared" si="8"/>
        <v>#N/A</v>
      </c>
      <c r="I85">
        <f t="shared" si="9"/>
        <v>0</v>
      </c>
    </row>
    <row r="86" spans="4:9" x14ac:dyDescent="0.45">
      <c r="D86" t="str">
        <f t="shared" si="5"/>
        <v>&lt;=150</v>
      </c>
      <c r="E86">
        <f t="shared" si="6"/>
        <v>0</v>
      </c>
      <c r="F86" s="1" t="e">
        <f>INDEX('App-Click Conversion by Rank'!$K$12:$S$31,MATCH(E86,'App-Click Conversion by Rank'!$J$12:$J$31,0),MATCH(D86,'App-Click Conversion by Rank'!$K$11:$S$11,0))</f>
        <v>#N/A</v>
      </c>
      <c r="G86" s="3" t="e">
        <f t="shared" si="7"/>
        <v>#N/A</v>
      </c>
      <c r="H86" s="5" t="e">
        <f t="shared" si="8"/>
        <v>#N/A</v>
      </c>
      <c r="I86">
        <f t="shared" si="9"/>
        <v>0</v>
      </c>
    </row>
    <row r="87" spans="4:9" x14ac:dyDescent="0.45">
      <c r="D87" t="str">
        <f t="shared" si="5"/>
        <v>&lt;=150</v>
      </c>
      <c r="E87">
        <f t="shared" si="6"/>
        <v>0</v>
      </c>
      <c r="F87" s="1" t="e">
        <f>INDEX('App-Click Conversion by Rank'!$K$12:$S$31,MATCH(E87,'App-Click Conversion by Rank'!$J$12:$J$31,0),MATCH(D87,'App-Click Conversion by Rank'!$K$11:$S$11,0))</f>
        <v>#N/A</v>
      </c>
      <c r="G87" s="3" t="e">
        <f t="shared" si="7"/>
        <v>#N/A</v>
      </c>
      <c r="H87" s="5" t="e">
        <f t="shared" si="8"/>
        <v>#N/A</v>
      </c>
      <c r="I87">
        <f t="shared" si="9"/>
        <v>0</v>
      </c>
    </row>
    <row r="88" spans="4:9" x14ac:dyDescent="0.45">
      <c r="D88" t="str">
        <f t="shared" si="5"/>
        <v>&lt;=150</v>
      </c>
      <c r="E88">
        <f t="shared" si="6"/>
        <v>0</v>
      </c>
      <c r="F88" s="1" t="e">
        <f>INDEX('App-Click Conversion by Rank'!$K$12:$S$31,MATCH(E88,'App-Click Conversion by Rank'!$J$12:$J$31,0),MATCH(D88,'App-Click Conversion by Rank'!$K$11:$S$11,0))</f>
        <v>#N/A</v>
      </c>
      <c r="G88" s="3" t="e">
        <f t="shared" si="7"/>
        <v>#N/A</v>
      </c>
      <c r="H88" s="5" t="e">
        <f t="shared" si="8"/>
        <v>#N/A</v>
      </c>
      <c r="I88">
        <f t="shared" si="9"/>
        <v>0</v>
      </c>
    </row>
    <row r="89" spans="4:9" x14ac:dyDescent="0.45">
      <c r="D89" t="str">
        <f t="shared" si="5"/>
        <v>&lt;=150</v>
      </c>
      <c r="E89">
        <f t="shared" si="6"/>
        <v>0</v>
      </c>
      <c r="F89" s="1" t="e">
        <f>INDEX('App-Click Conversion by Rank'!$K$12:$S$31,MATCH(E89,'App-Click Conversion by Rank'!$J$12:$J$31,0),MATCH(D89,'App-Click Conversion by Rank'!$K$11:$S$11,0))</f>
        <v>#N/A</v>
      </c>
      <c r="G89" s="3" t="e">
        <f t="shared" si="7"/>
        <v>#N/A</v>
      </c>
      <c r="H89" s="5" t="e">
        <f t="shared" si="8"/>
        <v>#N/A</v>
      </c>
      <c r="I89">
        <f t="shared" si="9"/>
        <v>0</v>
      </c>
    </row>
    <row r="90" spans="4:9" x14ac:dyDescent="0.45">
      <c r="D90" t="str">
        <f t="shared" si="5"/>
        <v>&lt;=150</v>
      </c>
      <c r="E90">
        <f t="shared" si="6"/>
        <v>0</v>
      </c>
      <c r="F90" s="1" t="e">
        <f>INDEX('App-Click Conversion by Rank'!$K$12:$S$31,MATCH(E90,'App-Click Conversion by Rank'!$J$12:$J$31,0),MATCH(D90,'App-Click Conversion by Rank'!$K$11:$S$11,0))</f>
        <v>#N/A</v>
      </c>
      <c r="G90" s="3" t="e">
        <f t="shared" si="7"/>
        <v>#N/A</v>
      </c>
      <c r="H90" s="5" t="e">
        <f t="shared" si="8"/>
        <v>#N/A</v>
      </c>
      <c r="I90">
        <f t="shared" si="9"/>
        <v>0</v>
      </c>
    </row>
    <row r="91" spans="4:9" x14ac:dyDescent="0.45">
      <c r="D91" t="str">
        <f t="shared" si="5"/>
        <v>&lt;=150</v>
      </c>
      <c r="E91">
        <f t="shared" si="6"/>
        <v>0</v>
      </c>
      <c r="F91" s="1" t="e">
        <f>INDEX('App-Click Conversion by Rank'!$K$12:$S$31,MATCH(E91,'App-Click Conversion by Rank'!$J$12:$J$31,0),MATCH(D91,'App-Click Conversion by Rank'!$K$11:$S$11,0))</f>
        <v>#N/A</v>
      </c>
      <c r="G91" s="3" t="e">
        <f t="shared" si="7"/>
        <v>#N/A</v>
      </c>
      <c r="H91" s="5" t="e">
        <f t="shared" si="8"/>
        <v>#N/A</v>
      </c>
      <c r="I91">
        <f t="shared" si="9"/>
        <v>0</v>
      </c>
    </row>
    <row r="92" spans="4:9" x14ac:dyDescent="0.45">
      <c r="D92" t="str">
        <f t="shared" si="5"/>
        <v>&lt;=150</v>
      </c>
      <c r="E92">
        <f t="shared" si="6"/>
        <v>0</v>
      </c>
      <c r="F92" s="1" t="e">
        <f>INDEX('App-Click Conversion by Rank'!$K$12:$S$31,MATCH(E92,'App-Click Conversion by Rank'!$J$12:$J$31,0),MATCH(D92,'App-Click Conversion by Rank'!$K$11:$S$11,0))</f>
        <v>#N/A</v>
      </c>
      <c r="G92" s="3" t="e">
        <f t="shared" si="7"/>
        <v>#N/A</v>
      </c>
      <c r="H92" s="5" t="e">
        <f t="shared" si="8"/>
        <v>#N/A</v>
      </c>
      <c r="I92">
        <f t="shared" si="9"/>
        <v>0</v>
      </c>
    </row>
    <row r="93" spans="4:9" x14ac:dyDescent="0.45">
      <c r="D93" t="str">
        <f t="shared" si="5"/>
        <v>&lt;=150</v>
      </c>
      <c r="E93">
        <f t="shared" si="6"/>
        <v>0</v>
      </c>
      <c r="F93" s="1" t="e">
        <f>INDEX('App-Click Conversion by Rank'!$K$12:$S$31,MATCH(E93,'App-Click Conversion by Rank'!$J$12:$J$31,0),MATCH(D93,'App-Click Conversion by Rank'!$K$11:$S$11,0))</f>
        <v>#N/A</v>
      </c>
      <c r="G93" s="3" t="e">
        <f t="shared" si="7"/>
        <v>#N/A</v>
      </c>
      <c r="H93" s="5" t="e">
        <f t="shared" si="8"/>
        <v>#N/A</v>
      </c>
      <c r="I93">
        <f t="shared" si="9"/>
        <v>0</v>
      </c>
    </row>
    <row r="94" spans="4:9" x14ac:dyDescent="0.45">
      <c r="D94" t="str">
        <f t="shared" si="5"/>
        <v>&lt;=150</v>
      </c>
      <c r="E94">
        <f t="shared" si="6"/>
        <v>0</v>
      </c>
      <c r="F94" s="1" t="e">
        <f>INDEX('App-Click Conversion by Rank'!$K$12:$S$31,MATCH(E94,'App-Click Conversion by Rank'!$J$12:$J$31,0),MATCH(D94,'App-Click Conversion by Rank'!$K$11:$S$11,0))</f>
        <v>#N/A</v>
      </c>
      <c r="G94" s="3" t="e">
        <f t="shared" si="7"/>
        <v>#N/A</v>
      </c>
      <c r="H94" s="5" t="e">
        <f t="shared" si="8"/>
        <v>#N/A</v>
      </c>
      <c r="I94">
        <f t="shared" si="9"/>
        <v>0</v>
      </c>
    </row>
    <row r="95" spans="4:9" x14ac:dyDescent="0.45">
      <c r="D95" t="str">
        <f t="shared" si="5"/>
        <v>&lt;=150</v>
      </c>
      <c r="E95">
        <f t="shared" si="6"/>
        <v>0</v>
      </c>
      <c r="F95" s="1" t="e">
        <f>INDEX('App-Click Conversion by Rank'!$K$12:$S$31,MATCH(E95,'App-Click Conversion by Rank'!$J$12:$J$31,0),MATCH(D95,'App-Click Conversion by Rank'!$K$11:$S$11,0))</f>
        <v>#N/A</v>
      </c>
      <c r="G95" s="3" t="e">
        <f t="shared" si="7"/>
        <v>#N/A</v>
      </c>
      <c r="H95" s="5" t="e">
        <f t="shared" si="8"/>
        <v>#N/A</v>
      </c>
      <c r="I95">
        <f t="shared" si="9"/>
        <v>0</v>
      </c>
    </row>
    <row r="96" spans="4:9" x14ac:dyDescent="0.45">
      <c r="D96" t="str">
        <f t="shared" si="5"/>
        <v>&lt;=150</v>
      </c>
      <c r="E96">
        <f t="shared" si="6"/>
        <v>0</v>
      </c>
      <c r="F96" s="1" t="e">
        <f>INDEX('App-Click Conversion by Rank'!$K$12:$S$31,MATCH(E96,'App-Click Conversion by Rank'!$J$12:$J$31,0),MATCH(D96,'App-Click Conversion by Rank'!$K$11:$S$11,0))</f>
        <v>#N/A</v>
      </c>
      <c r="G96" s="3" t="e">
        <f t="shared" si="7"/>
        <v>#N/A</v>
      </c>
      <c r="H96" s="5" t="e">
        <f t="shared" si="8"/>
        <v>#N/A</v>
      </c>
      <c r="I96">
        <f t="shared" si="9"/>
        <v>0</v>
      </c>
    </row>
    <row r="97" spans="4:9" x14ac:dyDescent="0.45">
      <c r="D97" t="str">
        <f t="shared" si="5"/>
        <v>&lt;=150</v>
      </c>
      <c r="E97">
        <f t="shared" si="6"/>
        <v>0</v>
      </c>
      <c r="F97" s="1" t="e">
        <f>INDEX('App-Click Conversion by Rank'!$K$12:$S$31,MATCH(E97,'App-Click Conversion by Rank'!$J$12:$J$31,0),MATCH(D97,'App-Click Conversion by Rank'!$K$11:$S$11,0))</f>
        <v>#N/A</v>
      </c>
      <c r="G97" s="3" t="e">
        <f t="shared" si="7"/>
        <v>#N/A</v>
      </c>
      <c r="H97" s="5" t="e">
        <f t="shared" si="8"/>
        <v>#N/A</v>
      </c>
      <c r="I97">
        <f t="shared" si="9"/>
        <v>0</v>
      </c>
    </row>
    <row r="98" spans="4:9" x14ac:dyDescent="0.45">
      <c r="D98" t="str">
        <f t="shared" si="5"/>
        <v>&lt;=150</v>
      </c>
      <c r="E98">
        <f t="shared" si="6"/>
        <v>0</v>
      </c>
      <c r="F98" s="1" t="e">
        <f>INDEX('App-Click Conversion by Rank'!$K$12:$S$31,MATCH(E98,'App-Click Conversion by Rank'!$J$12:$J$31,0),MATCH(D98,'App-Click Conversion by Rank'!$K$11:$S$11,0))</f>
        <v>#N/A</v>
      </c>
      <c r="G98" s="3" t="e">
        <f t="shared" si="7"/>
        <v>#N/A</v>
      </c>
      <c r="H98" s="5" t="e">
        <f t="shared" si="8"/>
        <v>#N/A</v>
      </c>
      <c r="I98">
        <f t="shared" si="9"/>
        <v>0</v>
      </c>
    </row>
    <row r="99" spans="4:9" x14ac:dyDescent="0.45">
      <c r="D99" t="str">
        <f t="shared" si="5"/>
        <v>&lt;=150</v>
      </c>
      <c r="E99">
        <f t="shared" si="6"/>
        <v>0</v>
      </c>
      <c r="F99" s="1" t="e">
        <f>INDEX('App-Click Conversion by Rank'!$K$12:$S$31,MATCH(E99,'App-Click Conversion by Rank'!$J$12:$J$31,0),MATCH(D99,'App-Click Conversion by Rank'!$K$11:$S$11,0))</f>
        <v>#N/A</v>
      </c>
      <c r="G99" s="3" t="e">
        <f t="shared" si="7"/>
        <v>#N/A</v>
      </c>
      <c r="H99" s="5" t="e">
        <f t="shared" si="8"/>
        <v>#N/A</v>
      </c>
      <c r="I99">
        <f t="shared" si="9"/>
        <v>0</v>
      </c>
    </row>
    <row r="100" spans="4:9" x14ac:dyDescent="0.45">
      <c r="D100" t="str">
        <f t="shared" si="5"/>
        <v>&lt;=150</v>
      </c>
      <c r="E100">
        <f t="shared" si="6"/>
        <v>0</v>
      </c>
      <c r="F100" s="1" t="e">
        <f>INDEX('App-Click Conversion by Rank'!$K$12:$S$31,MATCH(E100,'App-Click Conversion by Rank'!$J$12:$J$31,0),MATCH(D100,'App-Click Conversion by Rank'!$K$11:$S$11,0))</f>
        <v>#N/A</v>
      </c>
      <c r="G100" s="3" t="e">
        <f t="shared" si="7"/>
        <v>#N/A</v>
      </c>
      <c r="H100" s="5" t="e">
        <f t="shared" si="8"/>
        <v>#N/A</v>
      </c>
      <c r="I100">
        <f t="shared" si="9"/>
        <v>0</v>
      </c>
    </row>
    <row r="101" spans="4:9" x14ac:dyDescent="0.45">
      <c r="D101" t="str">
        <f t="shared" si="5"/>
        <v>&lt;=150</v>
      </c>
      <c r="E101">
        <f t="shared" si="6"/>
        <v>0</v>
      </c>
      <c r="F101" s="1" t="e">
        <f>INDEX('App-Click Conversion by Rank'!$K$12:$S$31,MATCH(E101,'App-Click Conversion by Rank'!$J$12:$J$31,0),MATCH(D101,'App-Click Conversion by Rank'!$K$11:$S$11,0))</f>
        <v>#N/A</v>
      </c>
      <c r="G101" s="3" t="e">
        <f t="shared" si="7"/>
        <v>#N/A</v>
      </c>
      <c r="H101" s="5" t="e">
        <f t="shared" si="8"/>
        <v>#N/A</v>
      </c>
      <c r="I101">
        <f t="shared" si="9"/>
        <v>0</v>
      </c>
    </row>
    <row r="102" spans="4:9" x14ac:dyDescent="0.45">
      <c r="D102" t="str">
        <f t="shared" si="5"/>
        <v>&lt;=150</v>
      </c>
      <c r="E102">
        <f t="shared" si="6"/>
        <v>0</v>
      </c>
      <c r="F102" s="1" t="e">
        <f>INDEX('App-Click Conversion by Rank'!$K$12:$S$31,MATCH(E102,'App-Click Conversion by Rank'!$J$12:$J$31,0),MATCH(D102,'App-Click Conversion by Rank'!$K$11:$S$11,0))</f>
        <v>#N/A</v>
      </c>
      <c r="G102" s="3" t="e">
        <f t="shared" si="7"/>
        <v>#N/A</v>
      </c>
      <c r="H102" s="5" t="e">
        <f t="shared" si="8"/>
        <v>#N/A</v>
      </c>
      <c r="I102">
        <f t="shared" si="9"/>
        <v>0</v>
      </c>
    </row>
    <row r="103" spans="4:9" x14ac:dyDescent="0.45">
      <c r="D103" t="str">
        <f t="shared" si="5"/>
        <v>&lt;=150</v>
      </c>
      <c r="E103">
        <f t="shared" si="6"/>
        <v>0</v>
      </c>
      <c r="F103" s="1" t="e">
        <f>INDEX('App-Click Conversion by Rank'!$K$12:$S$31,MATCH(E103,'App-Click Conversion by Rank'!$J$12:$J$31,0),MATCH(D103,'App-Click Conversion by Rank'!$K$11:$S$11,0))</f>
        <v>#N/A</v>
      </c>
      <c r="G103" s="3" t="e">
        <f t="shared" si="7"/>
        <v>#N/A</v>
      </c>
      <c r="H103" s="5" t="e">
        <f t="shared" si="8"/>
        <v>#N/A</v>
      </c>
      <c r="I103">
        <f t="shared" si="9"/>
        <v>0</v>
      </c>
    </row>
    <row r="104" spans="4:9" x14ac:dyDescent="0.45">
      <c r="D104" t="str">
        <f t="shared" si="5"/>
        <v>&lt;=150</v>
      </c>
      <c r="E104">
        <f t="shared" si="6"/>
        <v>0</v>
      </c>
      <c r="F104" s="1" t="e">
        <f>INDEX('App-Click Conversion by Rank'!$K$12:$S$31,MATCH(E104,'App-Click Conversion by Rank'!$J$12:$J$31,0),MATCH(D104,'App-Click Conversion by Rank'!$K$11:$S$11,0))</f>
        <v>#N/A</v>
      </c>
      <c r="G104" s="3" t="e">
        <f t="shared" si="7"/>
        <v>#N/A</v>
      </c>
      <c r="H104" s="5" t="e">
        <f t="shared" si="8"/>
        <v>#N/A</v>
      </c>
      <c r="I104">
        <f t="shared" si="9"/>
        <v>0</v>
      </c>
    </row>
    <row r="105" spans="4:9" x14ac:dyDescent="0.45">
      <c r="D105" t="str">
        <f t="shared" si="5"/>
        <v>&lt;=150</v>
      </c>
      <c r="E105">
        <f t="shared" si="6"/>
        <v>0</v>
      </c>
      <c r="F105" s="1" t="e">
        <f>INDEX('App-Click Conversion by Rank'!$K$12:$S$31,MATCH(E105,'App-Click Conversion by Rank'!$J$12:$J$31,0),MATCH(D105,'App-Click Conversion by Rank'!$K$11:$S$11,0))</f>
        <v>#N/A</v>
      </c>
      <c r="G105" s="3" t="e">
        <f t="shared" si="7"/>
        <v>#N/A</v>
      </c>
      <c r="H105" s="5" t="e">
        <f t="shared" si="8"/>
        <v>#N/A</v>
      </c>
      <c r="I105">
        <f t="shared" si="9"/>
        <v>0</v>
      </c>
    </row>
    <row r="106" spans="4:9" x14ac:dyDescent="0.45">
      <c r="D106" t="str">
        <f t="shared" si="5"/>
        <v>&lt;=150</v>
      </c>
      <c r="E106">
        <f t="shared" si="6"/>
        <v>0</v>
      </c>
      <c r="F106" s="1" t="e">
        <f>INDEX('App-Click Conversion by Rank'!$K$12:$S$31,MATCH(E106,'App-Click Conversion by Rank'!$J$12:$J$31,0),MATCH(D106,'App-Click Conversion by Rank'!$K$11:$S$11,0))</f>
        <v>#N/A</v>
      </c>
      <c r="G106" s="3" t="e">
        <f t="shared" si="7"/>
        <v>#N/A</v>
      </c>
      <c r="H106" s="5" t="e">
        <f t="shared" si="8"/>
        <v>#N/A</v>
      </c>
      <c r="I106">
        <f t="shared" si="9"/>
        <v>0</v>
      </c>
    </row>
    <row r="107" spans="4:9" x14ac:dyDescent="0.45">
      <c r="D107" t="str">
        <f t="shared" si="5"/>
        <v>&lt;=150</v>
      </c>
      <c r="E107">
        <f t="shared" si="6"/>
        <v>0</v>
      </c>
      <c r="F107" s="1" t="e">
        <f>INDEX('App-Click Conversion by Rank'!$K$12:$S$31,MATCH(E107,'App-Click Conversion by Rank'!$J$12:$J$31,0),MATCH(D107,'App-Click Conversion by Rank'!$K$11:$S$11,0))</f>
        <v>#N/A</v>
      </c>
      <c r="G107" s="3" t="e">
        <f t="shared" si="7"/>
        <v>#N/A</v>
      </c>
      <c r="H107" s="5" t="e">
        <f t="shared" si="8"/>
        <v>#N/A</v>
      </c>
      <c r="I107">
        <f t="shared" si="9"/>
        <v>0</v>
      </c>
    </row>
    <row r="108" spans="4:9" x14ac:dyDescent="0.45">
      <c r="D108" t="str">
        <f t="shared" si="5"/>
        <v>&lt;=150</v>
      </c>
      <c r="E108">
        <f t="shared" si="6"/>
        <v>0</v>
      </c>
      <c r="F108" s="1" t="e">
        <f>INDEX('App-Click Conversion by Rank'!$K$12:$S$31,MATCH(E108,'App-Click Conversion by Rank'!$J$12:$J$31,0),MATCH(D108,'App-Click Conversion by Rank'!$K$11:$S$11,0))</f>
        <v>#N/A</v>
      </c>
      <c r="G108" s="3" t="e">
        <f t="shared" si="7"/>
        <v>#N/A</v>
      </c>
      <c r="H108" s="5" t="e">
        <f t="shared" si="8"/>
        <v>#N/A</v>
      </c>
      <c r="I108">
        <f t="shared" si="9"/>
        <v>0</v>
      </c>
    </row>
    <row r="109" spans="4:9" x14ac:dyDescent="0.45">
      <c r="D109" t="str">
        <f t="shared" si="5"/>
        <v>&lt;=150</v>
      </c>
      <c r="E109">
        <f t="shared" si="6"/>
        <v>0</v>
      </c>
      <c r="F109" s="1" t="e">
        <f>INDEX('App-Click Conversion by Rank'!$K$12:$S$31,MATCH(E109,'App-Click Conversion by Rank'!$J$12:$J$31,0),MATCH(D109,'App-Click Conversion by Rank'!$K$11:$S$11,0))</f>
        <v>#N/A</v>
      </c>
      <c r="G109" s="3" t="e">
        <f t="shared" si="7"/>
        <v>#N/A</v>
      </c>
      <c r="H109" s="5" t="e">
        <f t="shared" si="8"/>
        <v>#N/A</v>
      </c>
      <c r="I109">
        <f t="shared" si="9"/>
        <v>0</v>
      </c>
    </row>
    <row r="110" spans="4:9" x14ac:dyDescent="0.45">
      <c r="D110" t="str">
        <f t="shared" si="5"/>
        <v>&lt;=150</v>
      </c>
      <c r="E110">
        <f t="shared" si="6"/>
        <v>0</v>
      </c>
      <c r="F110" s="1" t="e">
        <f>INDEX('App-Click Conversion by Rank'!$K$12:$S$31,MATCH(E110,'App-Click Conversion by Rank'!$J$12:$J$31,0),MATCH(D110,'App-Click Conversion by Rank'!$K$11:$S$11,0))</f>
        <v>#N/A</v>
      </c>
      <c r="G110" s="3" t="e">
        <f t="shared" si="7"/>
        <v>#N/A</v>
      </c>
      <c r="H110" s="5" t="e">
        <f t="shared" si="8"/>
        <v>#N/A</v>
      </c>
      <c r="I110">
        <f t="shared" si="9"/>
        <v>0</v>
      </c>
    </row>
    <row r="111" spans="4:9" x14ac:dyDescent="0.45">
      <c r="D111" t="str">
        <f t="shared" si="5"/>
        <v>&lt;=150</v>
      </c>
      <c r="E111">
        <f t="shared" si="6"/>
        <v>0</v>
      </c>
      <c r="F111" s="1" t="e">
        <f>INDEX('App-Click Conversion by Rank'!$K$12:$S$31,MATCH(E111,'App-Click Conversion by Rank'!$J$12:$J$31,0),MATCH(D111,'App-Click Conversion by Rank'!$K$11:$S$11,0))</f>
        <v>#N/A</v>
      </c>
      <c r="G111" s="3" t="e">
        <f t="shared" si="7"/>
        <v>#N/A</v>
      </c>
      <c r="H111" s="5" t="e">
        <f t="shared" si="8"/>
        <v>#N/A</v>
      </c>
      <c r="I111">
        <f t="shared" si="9"/>
        <v>0</v>
      </c>
    </row>
    <row r="112" spans="4:9" x14ac:dyDescent="0.45">
      <c r="D112" t="str">
        <f t="shared" si="5"/>
        <v>&lt;=150</v>
      </c>
      <c r="E112">
        <f t="shared" si="6"/>
        <v>0</v>
      </c>
      <c r="F112" s="1" t="e">
        <f>INDEX('App-Click Conversion by Rank'!$K$12:$S$31,MATCH(E112,'App-Click Conversion by Rank'!$J$12:$J$31,0),MATCH(D112,'App-Click Conversion by Rank'!$K$11:$S$11,0))</f>
        <v>#N/A</v>
      </c>
      <c r="G112" s="3" t="e">
        <f t="shared" si="7"/>
        <v>#N/A</v>
      </c>
      <c r="H112" s="5" t="e">
        <f t="shared" si="8"/>
        <v>#N/A</v>
      </c>
      <c r="I112">
        <f t="shared" si="9"/>
        <v>0</v>
      </c>
    </row>
    <row r="113" spans="4:9" x14ac:dyDescent="0.45">
      <c r="D113" t="str">
        <f t="shared" si="5"/>
        <v>&lt;=150</v>
      </c>
      <c r="E113">
        <f t="shared" si="6"/>
        <v>0</v>
      </c>
      <c r="F113" s="1" t="e">
        <f>INDEX('App-Click Conversion by Rank'!$K$12:$S$31,MATCH(E113,'App-Click Conversion by Rank'!$J$12:$J$31,0),MATCH(D113,'App-Click Conversion by Rank'!$K$11:$S$11,0))</f>
        <v>#N/A</v>
      </c>
      <c r="G113" s="3" t="e">
        <f t="shared" si="7"/>
        <v>#N/A</v>
      </c>
      <c r="H113" s="5" t="e">
        <f t="shared" si="8"/>
        <v>#N/A</v>
      </c>
      <c r="I113">
        <f t="shared" si="9"/>
        <v>0</v>
      </c>
    </row>
    <row r="114" spans="4:9" x14ac:dyDescent="0.45">
      <c r="D114" t="str">
        <f t="shared" si="5"/>
        <v>&lt;=150</v>
      </c>
      <c r="E114">
        <f t="shared" si="6"/>
        <v>0</v>
      </c>
      <c r="F114" s="1" t="e">
        <f>INDEX('App-Click Conversion by Rank'!$K$12:$S$31,MATCH(E114,'App-Click Conversion by Rank'!$J$12:$J$31,0),MATCH(D114,'App-Click Conversion by Rank'!$K$11:$S$11,0))</f>
        <v>#N/A</v>
      </c>
      <c r="G114" s="3" t="e">
        <f t="shared" si="7"/>
        <v>#N/A</v>
      </c>
      <c r="H114" s="5" t="e">
        <f t="shared" si="8"/>
        <v>#N/A</v>
      </c>
      <c r="I114">
        <f t="shared" si="9"/>
        <v>0</v>
      </c>
    </row>
    <row r="115" spans="4:9" x14ac:dyDescent="0.45">
      <c r="D115" t="str">
        <f t="shared" si="5"/>
        <v>&lt;=150</v>
      </c>
      <c r="E115">
        <f t="shared" si="6"/>
        <v>0</v>
      </c>
      <c r="F115" s="1" t="e">
        <f>INDEX('App-Click Conversion by Rank'!$K$12:$S$31,MATCH(E115,'App-Click Conversion by Rank'!$J$12:$J$31,0),MATCH(D115,'App-Click Conversion by Rank'!$K$11:$S$11,0))</f>
        <v>#N/A</v>
      </c>
      <c r="G115" s="3" t="e">
        <f t="shared" si="7"/>
        <v>#N/A</v>
      </c>
      <c r="H115" s="5" t="e">
        <f t="shared" si="8"/>
        <v>#N/A</v>
      </c>
      <c r="I115">
        <f t="shared" si="9"/>
        <v>0</v>
      </c>
    </row>
    <row r="116" spans="4:9" x14ac:dyDescent="0.45">
      <c r="D116" t="str">
        <f t="shared" si="5"/>
        <v>&lt;=150</v>
      </c>
      <c r="E116">
        <f t="shared" si="6"/>
        <v>0</v>
      </c>
      <c r="F116" s="1" t="e">
        <f>INDEX('App-Click Conversion by Rank'!$K$12:$S$31,MATCH(E116,'App-Click Conversion by Rank'!$J$12:$J$31,0),MATCH(D116,'App-Click Conversion by Rank'!$K$11:$S$11,0))</f>
        <v>#N/A</v>
      </c>
      <c r="G116" s="3" t="e">
        <f t="shared" si="7"/>
        <v>#N/A</v>
      </c>
      <c r="H116" s="5" t="e">
        <f t="shared" si="8"/>
        <v>#N/A</v>
      </c>
      <c r="I116">
        <f t="shared" si="9"/>
        <v>0</v>
      </c>
    </row>
    <row r="117" spans="4:9" x14ac:dyDescent="0.45">
      <c r="D117" t="str">
        <f t="shared" si="5"/>
        <v>&lt;=150</v>
      </c>
      <c r="E117">
        <f t="shared" si="6"/>
        <v>0</v>
      </c>
      <c r="F117" s="1" t="e">
        <f>INDEX('App-Click Conversion by Rank'!$K$12:$S$31,MATCH(E117,'App-Click Conversion by Rank'!$J$12:$J$31,0),MATCH(D117,'App-Click Conversion by Rank'!$K$11:$S$11,0))</f>
        <v>#N/A</v>
      </c>
      <c r="G117" s="3" t="e">
        <f t="shared" si="7"/>
        <v>#N/A</v>
      </c>
      <c r="H117" s="5" t="e">
        <f t="shared" si="8"/>
        <v>#N/A</v>
      </c>
      <c r="I117">
        <f t="shared" si="9"/>
        <v>0</v>
      </c>
    </row>
    <row r="118" spans="4:9" x14ac:dyDescent="0.45">
      <c r="D118" t="str">
        <f t="shared" si="5"/>
        <v>&lt;=150</v>
      </c>
      <c r="E118">
        <f t="shared" si="6"/>
        <v>0</v>
      </c>
      <c r="F118" s="1" t="e">
        <f>INDEX('App-Click Conversion by Rank'!$K$12:$S$31,MATCH(E118,'App-Click Conversion by Rank'!$J$12:$J$31,0),MATCH(D118,'App-Click Conversion by Rank'!$K$11:$S$11,0))</f>
        <v>#N/A</v>
      </c>
      <c r="G118" s="3" t="e">
        <f t="shared" si="7"/>
        <v>#N/A</v>
      </c>
      <c r="H118" s="5" t="e">
        <f t="shared" si="8"/>
        <v>#N/A</v>
      </c>
      <c r="I118">
        <f t="shared" si="9"/>
        <v>0</v>
      </c>
    </row>
    <row r="119" spans="4:9" x14ac:dyDescent="0.45">
      <c r="D119" t="str">
        <f t="shared" si="5"/>
        <v>&lt;=150</v>
      </c>
      <c r="E119">
        <f t="shared" si="6"/>
        <v>0</v>
      </c>
      <c r="F119" s="1" t="e">
        <f>INDEX('App-Click Conversion by Rank'!$K$12:$S$31,MATCH(E119,'App-Click Conversion by Rank'!$J$12:$J$31,0),MATCH(D119,'App-Click Conversion by Rank'!$K$11:$S$11,0))</f>
        <v>#N/A</v>
      </c>
      <c r="G119" s="3" t="e">
        <f t="shared" si="7"/>
        <v>#N/A</v>
      </c>
      <c r="H119" s="5" t="e">
        <f t="shared" si="8"/>
        <v>#N/A</v>
      </c>
      <c r="I119">
        <f t="shared" si="9"/>
        <v>0</v>
      </c>
    </row>
    <row r="120" spans="4:9" x14ac:dyDescent="0.45">
      <c r="D120" t="str">
        <f t="shared" si="5"/>
        <v>&lt;=150</v>
      </c>
      <c r="E120">
        <f t="shared" si="6"/>
        <v>0</v>
      </c>
      <c r="F120" s="1" t="e">
        <f>INDEX('App-Click Conversion by Rank'!$K$12:$S$31,MATCH(E120,'App-Click Conversion by Rank'!$J$12:$J$31,0),MATCH(D120,'App-Click Conversion by Rank'!$K$11:$S$11,0))</f>
        <v>#N/A</v>
      </c>
      <c r="G120" s="3" t="e">
        <f t="shared" si="7"/>
        <v>#N/A</v>
      </c>
      <c r="H120" s="5" t="e">
        <f t="shared" si="8"/>
        <v>#N/A</v>
      </c>
      <c r="I120">
        <f t="shared" si="9"/>
        <v>0</v>
      </c>
    </row>
    <row r="121" spans="4:9" x14ac:dyDescent="0.45">
      <c r="D121" t="str">
        <f t="shared" si="5"/>
        <v>&lt;=150</v>
      </c>
      <c r="E121">
        <f t="shared" si="6"/>
        <v>0</v>
      </c>
      <c r="F121" s="1" t="e">
        <f>INDEX('App-Click Conversion by Rank'!$K$12:$S$31,MATCH(E121,'App-Click Conversion by Rank'!$J$12:$J$31,0),MATCH(D121,'App-Click Conversion by Rank'!$K$11:$S$11,0))</f>
        <v>#N/A</v>
      </c>
      <c r="G121" s="3" t="e">
        <f t="shared" si="7"/>
        <v>#N/A</v>
      </c>
      <c r="H121" s="5" t="e">
        <f t="shared" si="8"/>
        <v>#N/A</v>
      </c>
      <c r="I121">
        <f t="shared" si="9"/>
        <v>0</v>
      </c>
    </row>
    <row r="122" spans="4:9" x14ac:dyDescent="0.45">
      <c r="D122" t="str">
        <f t="shared" si="5"/>
        <v>&lt;=150</v>
      </c>
      <c r="E122">
        <f t="shared" si="6"/>
        <v>0</v>
      </c>
      <c r="F122" s="1" t="e">
        <f>INDEX('App-Click Conversion by Rank'!$K$12:$S$31,MATCH(E122,'App-Click Conversion by Rank'!$J$12:$J$31,0),MATCH(D122,'App-Click Conversion by Rank'!$K$11:$S$11,0))</f>
        <v>#N/A</v>
      </c>
      <c r="G122" s="3" t="e">
        <f t="shared" si="7"/>
        <v>#N/A</v>
      </c>
      <c r="H122" s="5" t="e">
        <f t="shared" si="8"/>
        <v>#N/A</v>
      </c>
      <c r="I122">
        <f t="shared" si="9"/>
        <v>0</v>
      </c>
    </row>
    <row r="123" spans="4:9" x14ac:dyDescent="0.45">
      <c r="D123" t="str">
        <f t="shared" si="5"/>
        <v>&lt;=150</v>
      </c>
      <c r="E123">
        <f t="shared" si="6"/>
        <v>0</v>
      </c>
      <c r="F123" s="1" t="e">
        <f>INDEX('App-Click Conversion by Rank'!$K$12:$S$31,MATCH(E123,'App-Click Conversion by Rank'!$J$12:$J$31,0),MATCH(D123,'App-Click Conversion by Rank'!$K$11:$S$11,0))</f>
        <v>#N/A</v>
      </c>
      <c r="G123" s="3" t="e">
        <f t="shared" si="7"/>
        <v>#N/A</v>
      </c>
      <c r="H123" s="5" t="e">
        <f t="shared" si="8"/>
        <v>#N/A</v>
      </c>
      <c r="I123">
        <f t="shared" si="9"/>
        <v>0</v>
      </c>
    </row>
    <row r="124" spans="4:9" x14ac:dyDescent="0.45">
      <c r="D124" t="str">
        <f t="shared" si="5"/>
        <v>&lt;=150</v>
      </c>
      <c r="E124">
        <f t="shared" si="6"/>
        <v>0</v>
      </c>
      <c r="F124" s="1" t="e">
        <f>INDEX('App-Click Conversion by Rank'!$K$12:$S$31,MATCH(E124,'App-Click Conversion by Rank'!$J$12:$J$31,0),MATCH(D124,'App-Click Conversion by Rank'!$K$11:$S$11,0))</f>
        <v>#N/A</v>
      </c>
      <c r="G124" s="3" t="e">
        <f t="shared" si="7"/>
        <v>#N/A</v>
      </c>
      <c r="H124" s="5" t="e">
        <f t="shared" si="8"/>
        <v>#N/A</v>
      </c>
      <c r="I124">
        <f t="shared" si="9"/>
        <v>0</v>
      </c>
    </row>
    <row r="125" spans="4:9" x14ac:dyDescent="0.45">
      <c r="D125" t="str">
        <f t="shared" si="5"/>
        <v>&lt;=150</v>
      </c>
      <c r="E125">
        <f t="shared" si="6"/>
        <v>0</v>
      </c>
      <c r="F125" s="1" t="e">
        <f>INDEX('App-Click Conversion by Rank'!$K$12:$S$31,MATCH(E125,'App-Click Conversion by Rank'!$J$12:$J$31,0),MATCH(D125,'App-Click Conversion by Rank'!$K$11:$S$11,0))</f>
        <v>#N/A</v>
      </c>
      <c r="G125" s="3" t="e">
        <f t="shared" si="7"/>
        <v>#N/A</v>
      </c>
      <c r="H125" s="5" t="e">
        <f t="shared" si="8"/>
        <v>#N/A</v>
      </c>
      <c r="I125">
        <f t="shared" si="9"/>
        <v>0</v>
      </c>
    </row>
    <row r="126" spans="4:9" x14ac:dyDescent="0.45">
      <c r="D126" t="str">
        <f t="shared" si="5"/>
        <v>&lt;=150</v>
      </c>
      <c r="E126">
        <f t="shared" si="6"/>
        <v>0</v>
      </c>
      <c r="F126" s="1" t="e">
        <f>INDEX('App-Click Conversion by Rank'!$K$12:$S$31,MATCH(E126,'App-Click Conversion by Rank'!$J$12:$J$31,0),MATCH(D126,'App-Click Conversion by Rank'!$K$11:$S$11,0))</f>
        <v>#N/A</v>
      </c>
      <c r="G126" s="3" t="e">
        <f t="shared" si="7"/>
        <v>#N/A</v>
      </c>
      <c r="H126" s="5" t="e">
        <f t="shared" si="8"/>
        <v>#N/A</v>
      </c>
      <c r="I126">
        <f t="shared" si="9"/>
        <v>0</v>
      </c>
    </row>
    <row r="127" spans="4:9" x14ac:dyDescent="0.45">
      <c r="D127" t="str">
        <f t="shared" si="5"/>
        <v>&lt;=150</v>
      </c>
      <c r="E127">
        <f t="shared" si="6"/>
        <v>0</v>
      </c>
      <c r="F127" s="1" t="e">
        <f>INDEX('App-Click Conversion by Rank'!$K$12:$S$31,MATCH(E127,'App-Click Conversion by Rank'!$J$12:$J$31,0),MATCH(D127,'App-Click Conversion by Rank'!$K$11:$S$11,0))</f>
        <v>#N/A</v>
      </c>
      <c r="G127" s="3" t="e">
        <f t="shared" si="7"/>
        <v>#N/A</v>
      </c>
      <c r="H127" s="5" t="e">
        <f t="shared" si="8"/>
        <v>#N/A</v>
      </c>
      <c r="I127">
        <f t="shared" si="9"/>
        <v>0</v>
      </c>
    </row>
    <row r="128" spans="4:9" x14ac:dyDescent="0.45">
      <c r="D128" t="str">
        <f t="shared" si="5"/>
        <v>&lt;=150</v>
      </c>
      <c r="E128">
        <f t="shared" si="6"/>
        <v>0</v>
      </c>
      <c r="F128" s="1" t="e">
        <f>INDEX('App-Click Conversion by Rank'!$K$12:$S$31,MATCH(E128,'App-Click Conversion by Rank'!$J$12:$J$31,0),MATCH(D128,'App-Click Conversion by Rank'!$K$11:$S$11,0))</f>
        <v>#N/A</v>
      </c>
      <c r="G128" s="3" t="e">
        <f t="shared" si="7"/>
        <v>#N/A</v>
      </c>
      <c r="H128" s="5" t="e">
        <f t="shared" si="8"/>
        <v>#N/A</v>
      </c>
      <c r="I128">
        <f t="shared" si="9"/>
        <v>0</v>
      </c>
    </row>
    <row r="129" spans="4:9" x14ac:dyDescent="0.45">
      <c r="D129" t="str">
        <f t="shared" si="5"/>
        <v>&lt;=150</v>
      </c>
      <c r="E129">
        <f t="shared" si="6"/>
        <v>0</v>
      </c>
      <c r="F129" s="1" t="e">
        <f>INDEX('App-Click Conversion by Rank'!$K$12:$S$31,MATCH(E129,'App-Click Conversion by Rank'!$J$12:$J$31,0),MATCH(D129,'App-Click Conversion by Rank'!$K$11:$S$11,0))</f>
        <v>#N/A</v>
      </c>
      <c r="G129" s="3" t="e">
        <f t="shared" si="7"/>
        <v>#N/A</v>
      </c>
      <c r="H129" s="5" t="e">
        <f t="shared" si="8"/>
        <v>#N/A</v>
      </c>
      <c r="I129">
        <f t="shared" si="9"/>
        <v>0</v>
      </c>
    </row>
    <row r="130" spans="4:9" x14ac:dyDescent="0.45">
      <c r="D130" t="str">
        <f t="shared" si="5"/>
        <v>&lt;=150</v>
      </c>
      <c r="E130">
        <f t="shared" si="6"/>
        <v>0</v>
      </c>
      <c r="F130" s="1" t="e">
        <f>INDEX('App-Click Conversion by Rank'!$K$12:$S$31,MATCH(E130,'App-Click Conversion by Rank'!$J$12:$J$31,0),MATCH(D130,'App-Click Conversion by Rank'!$K$11:$S$11,0))</f>
        <v>#N/A</v>
      </c>
      <c r="G130" s="3" t="e">
        <f t="shared" si="7"/>
        <v>#N/A</v>
      </c>
      <c r="H130" s="5" t="e">
        <f t="shared" si="8"/>
        <v>#N/A</v>
      </c>
      <c r="I130">
        <f t="shared" si="9"/>
        <v>0</v>
      </c>
    </row>
    <row r="131" spans="4:9" x14ac:dyDescent="0.45">
      <c r="D131" t="str">
        <f t="shared" ref="D131:D194" si="10">IF(B131&lt;=150,"&lt;=150",IF(B131&gt;500,"501+",B131))</f>
        <v>&lt;=150</v>
      </c>
      <c r="E131">
        <f t="shared" ref="E131:E194" si="11">IF(A131&gt;=20,"20+",A131)</f>
        <v>0</v>
      </c>
      <c r="F131" s="1" t="e">
        <f>INDEX('App-Click Conversion by Rank'!$K$12:$S$31,MATCH(E131,'App-Click Conversion by Rank'!$J$12:$J$31,0),MATCH(D131,'App-Click Conversion by Rank'!$K$11:$S$11,0))</f>
        <v>#N/A</v>
      </c>
      <c r="G131" s="3" t="e">
        <f t="shared" ref="G131:G194" si="12">C131*F131</f>
        <v>#N/A</v>
      </c>
      <c r="H131" s="5" t="e">
        <f t="shared" ref="H131:H194" si="13">G131*A131</f>
        <v>#N/A</v>
      </c>
      <c r="I131">
        <f t="shared" ref="I131:I194" si="14">C131*A131</f>
        <v>0</v>
      </c>
    </row>
    <row r="132" spans="4:9" x14ac:dyDescent="0.45">
      <c r="D132" t="str">
        <f t="shared" si="10"/>
        <v>&lt;=150</v>
      </c>
      <c r="E132">
        <f t="shared" si="11"/>
        <v>0</v>
      </c>
      <c r="F132" s="1" t="e">
        <f>INDEX('App-Click Conversion by Rank'!$K$12:$S$31,MATCH(E132,'App-Click Conversion by Rank'!$J$12:$J$31,0),MATCH(D132,'App-Click Conversion by Rank'!$K$11:$S$11,0))</f>
        <v>#N/A</v>
      </c>
      <c r="G132" s="3" t="e">
        <f t="shared" si="12"/>
        <v>#N/A</v>
      </c>
      <c r="H132" s="5" t="e">
        <f t="shared" si="13"/>
        <v>#N/A</v>
      </c>
      <c r="I132">
        <f t="shared" si="14"/>
        <v>0</v>
      </c>
    </row>
    <row r="133" spans="4:9" x14ac:dyDescent="0.45">
      <c r="D133" t="str">
        <f t="shared" si="10"/>
        <v>&lt;=150</v>
      </c>
      <c r="E133">
        <f t="shared" si="11"/>
        <v>0</v>
      </c>
      <c r="F133" s="1" t="e">
        <f>INDEX('App-Click Conversion by Rank'!$K$12:$S$31,MATCH(E133,'App-Click Conversion by Rank'!$J$12:$J$31,0),MATCH(D133,'App-Click Conversion by Rank'!$K$11:$S$11,0))</f>
        <v>#N/A</v>
      </c>
      <c r="G133" s="3" t="e">
        <f t="shared" si="12"/>
        <v>#N/A</v>
      </c>
      <c r="H133" s="5" t="e">
        <f t="shared" si="13"/>
        <v>#N/A</v>
      </c>
      <c r="I133">
        <f t="shared" si="14"/>
        <v>0</v>
      </c>
    </row>
    <row r="134" spans="4:9" x14ac:dyDescent="0.45">
      <c r="D134" t="str">
        <f t="shared" si="10"/>
        <v>&lt;=150</v>
      </c>
      <c r="E134">
        <f t="shared" si="11"/>
        <v>0</v>
      </c>
      <c r="F134" s="1" t="e">
        <f>INDEX('App-Click Conversion by Rank'!$K$12:$S$31,MATCH(E134,'App-Click Conversion by Rank'!$J$12:$J$31,0),MATCH(D134,'App-Click Conversion by Rank'!$K$11:$S$11,0))</f>
        <v>#N/A</v>
      </c>
      <c r="G134" s="3" t="e">
        <f t="shared" si="12"/>
        <v>#N/A</v>
      </c>
      <c r="H134" s="5" t="e">
        <f t="shared" si="13"/>
        <v>#N/A</v>
      </c>
      <c r="I134">
        <f t="shared" si="14"/>
        <v>0</v>
      </c>
    </row>
    <row r="135" spans="4:9" x14ac:dyDescent="0.45">
      <c r="D135" t="str">
        <f t="shared" si="10"/>
        <v>&lt;=150</v>
      </c>
      <c r="E135">
        <f t="shared" si="11"/>
        <v>0</v>
      </c>
      <c r="F135" s="1" t="e">
        <f>INDEX('App-Click Conversion by Rank'!$K$12:$S$31,MATCH(E135,'App-Click Conversion by Rank'!$J$12:$J$31,0),MATCH(D135,'App-Click Conversion by Rank'!$K$11:$S$11,0))</f>
        <v>#N/A</v>
      </c>
      <c r="G135" s="3" t="e">
        <f t="shared" si="12"/>
        <v>#N/A</v>
      </c>
      <c r="H135" s="5" t="e">
        <f t="shared" si="13"/>
        <v>#N/A</v>
      </c>
      <c r="I135">
        <f t="shared" si="14"/>
        <v>0</v>
      </c>
    </row>
    <row r="136" spans="4:9" x14ac:dyDescent="0.45">
      <c r="D136" t="str">
        <f t="shared" si="10"/>
        <v>&lt;=150</v>
      </c>
      <c r="E136">
        <f t="shared" si="11"/>
        <v>0</v>
      </c>
      <c r="F136" s="1" t="e">
        <f>INDEX('App-Click Conversion by Rank'!$K$12:$S$31,MATCH(E136,'App-Click Conversion by Rank'!$J$12:$J$31,0),MATCH(D136,'App-Click Conversion by Rank'!$K$11:$S$11,0))</f>
        <v>#N/A</v>
      </c>
      <c r="G136" s="3" t="e">
        <f t="shared" si="12"/>
        <v>#N/A</v>
      </c>
      <c r="H136" s="5" t="e">
        <f t="shared" si="13"/>
        <v>#N/A</v>
      </c>
      <c r="I136">
        <f t="shared" si="14"/>
        <v>0</v>
      </c>
    </row>
    <row r="137" spans="4:9" x14ac:dyDescent="0.45">
      <c r="D137" t="str">
        <f t="shared" si="10"/>
        <v>&lt;=150</v>
      </c>
      <c r="E137">
        <f t="shared" si="11"/>
        <v>0</v>
      </c>
      <c r="F137" s="1" t="e">
        <f>INDEX('App-Click Conversion by Rank'!$K$12:$S$31,MATCH(E137,'App-Click Conversion by Rank'!$J$12:$J$31,0),MATCH(D137,'App-Click Conversion by Rank'!$K$11:$S$11,0))</f>
        <v>#N/A</v>
      </c>
      <c r="G137" s="3" t="e">
        <f t="shared" si="12"/>
        <v>#N/A</v>
      </c>
      <c r="H137" s="5" t="e">
        <f t="shared" si="13"/>
        <v>#N/A</v>
      </c>
      <c r="I137">
        <f t="shared" si="14"/>
        <v>0</v>
      </c>
    </row>
    <row r="138" spans="4:9" x14ac:dyDescent="0.45">
      <c r="D138" t="str">
        <f t="shared" si="10"/>
        <v>&lt;=150</v>
      </c>
      <c r="E138">
        <f t="shared" si="11"/>
        <v>0</v>
      </c>
      <c r="F138" s="1" t="e">
        <f>INDEX('App-Click Conversion by Rank'!$K$12:$S$31,MATCH(E138,'App-Click Conversion by Rank'!$J$12:$J$31,0),MATCH(D138,'App-Click Conversion by Rank'!$K$11:$S$11,0))</f>
        <v>#N/A</v>
      </c>
      <c r="G138" s="3" t="e">
        <f t="shared" si="12"/>
        <v>#N/A</v>
      </c>
      <c r="H138" s="5" t="e">
        <f t="shared" si="13"/>
        <v>#N/A</v>
      </c>
      <c r="I138">
        <f t="shared" si="14"/>
        <v>0</v>
      </c>
    </row>
    <row r="139" spans="4:9" x14ac:dyDescent="0.45">
      <c r="D139" t="str">
        <f t="shared" si="10"/>
        <v>&lt;=150</v>
      </c>
      <c r="E139">
        <f t="shared" si="11"/>
        <v>0</v>
      </c>
      <c r="F139" s="1" t="e">
        <f>INDEX('App-Click Conversion by Rank'!$K$12:$S$31,MATCH(E139,'App-Click Conversion by Rank'!$J$12:$J$31,0),MATCH(D139,'App-Click Conversion by Rank'!$K$11:$S$11,0))</f>
        <v>#N/A</v>
      </c>
      <c r="G139" s="3" t="e">
        <f t="shared" si="12"/>
        <v>#N/A</v>
      </c>
      <c r="H139" s="5" t="e">
        <f t="shared" si="13"/>
        <v>#N/A</v>
      </c>
      <c r="I139">
        <f t="shared" si="14"/>
        <v>0</v>
      </c>
    </row>
    <row r="140" spans="4:9" x14ac:dyDescent="0.45">
      <c r="D140" t="str">
        <f t="shared" si="10"/>
        <v>&lt;=150</v>
      </c>
      <c r="E140">
        <f t="shared" si="11"/>
        <v>0</v>
      </c>
      <c r="F140" s="1" t="e">
        <f>INDEX('App-Click Conversion by Rank'!$K$12:$S$31,MATCH(E140,'App-Click Conversion by Rank'!$J$12:$J$31,0),MATCH(D140,'App-Click Conversion by Rank'!$K$11:$S$11,0))</f>
        <v>#N/A</v>
      </c>
      <c r="G140" s="3" t="e">
        <f t="shared" si="12"/>
        <v>#N/A</v>
      </c>
      <c r="H140" s="5" t="e">
        <f t="shared" si="13"/>
        <v>#N/A</v>
      </c>
      <c r="I140">
        <f t="shared" si="14"/>
        <v>0</v>
      </c>
    </row>
    <row r="141" spans="4:9" x14ac:dyDescent="0.45">
      <c r="D141" t="str">
        <f t="shared" si="10"/>
        <v>&lt;=150</v>
      </c>
      <c r="E141">
        <f t="shared" si="11"/>
        <v>0</v>
      </c>
      <c r="F141" s="1" t="e">
        <f>INDEX('App-Click Conversion by Rank'!$K$12:$S$31,MATCH(E141,'App-Click Conversion by Rank'!$J$12:$J$31,0),MATCH(D141,'App-Click Conversion by Rank'!$K$11:$S$11,0))</f>
        <v>#N/A</v>
      </c>
      <c r="G141" s="3" t="e">
        <f t="shared" si="12"/>
        <v>#N/A</v>
      </c>
      <c r="H141" s="5" t="e">
        <f t="shared" si="13"/>
        <v>#N/A</v>
      </c>
      <c r="I141">
        <f t="shared" si="14"/>
        <v>0</v>
      </c>
    </row>
    <row r="142" spans="4:9" x14ac:dyDescent="0.45">
      <c r="D142" t="str">
        <f t="shared" si="10"/>
        <v>&lt;=150</v>
      </c>
      <c r="E142">
        <f t="shared" si="11"/>
        <v>0</v>
      </c>
      <c r="F142" s="1" t="e">
        <f>INDEX('App-Click Conversion by Rank'!$K$12:$S$31,MATCH(E142,'App-Click Conversion by Rank'!$J$12:$J$31,0),MATCH(D142,'App-Click Conversion by Rank'!$K$11:$S$11,0))</f>
        <v>#N/A</v>
      </c>
      <c r="G142" s="3" t="e">
        <f t="shared" si="12"/>
        <v>#N/A</v>
      </c>
      <c r="H142" s="5" t="e">
        <f t="shared" si="13"/>
        <v>#N/A</v>
      </c>
      <c r="I142">
        <f t="shared" si="14"/>
        <v>0</v>
      </c>
    </row>
    <row r="143" spans="4:9" x14ac:dyDescent="0.45">
      <c r="D143" t="str">
        <f t="shared" si="10"/>
        <v>&lt;=150</v>
      </c>
      <c r="E143">
        <f t="shared" si="11"/>
        <v>0</v>
      </c>
      <c r="F143" s="1" t="e">
        <f>INDEX('App-Click Conversion by Rank'!$K$12:$S$31,MATCH(E143,'App-Click Conversion by Rank'!$J$12:$J$31,0),MATCH(D143,'App-Click Conversion by Rank'!$K$11:$S$11,0))</f>
        <v>#N/A</v>
      </c>
      <c r="G143" s="3" t="e">
        <f t="shared" si="12"/>
        <v>#N/A</v>
      </c>
      <c r="H143" s="5" t="e">
        <f t="shared" si="13"/>
        <v>#N/A</v>
      </c>
      <c r="I143">
        <f t="shared" si="14"/>
        <v>0</v>
      </c>
    </row>
    <row r="144" spans="4:9" x14ac:dyDescent="0.45">
      <c r="D144" t="str">
        <f t="shared" si="10"/>
        <v>&lt;=150</v>
      </c>
      <c r="E144">
        <f t="shared" si="11"/>
        <v>0</v>
      </c>
      <c r="F144" s="1" t="e">
        <f>INDEX('App-Click Conversion by Rank'!$K$12:$S$31,MATCH(E144,'App-Click Conversion by Rank'!$J$12:$J$31,0),MATCH(D144,'App-Click Conversion by Rank'!$K$11:$S$11,0))</f>
        <v>#N/A</v>
      </c>
      <c r="G144" s="3" t="e">
        <f t="shared" si="12"/>
        <v>#N/A</v>
      </c>
      <c r="H144" s="5" t="e">
        <f t="shared" si="13"/>
        <v>#N/A</v>
      </c>
      <c r="I144">
        <f t="shared" si="14"/>
        <v>0</v>
      </c>
    </row>
    <row r="145" spans="4:9" x14ac:dyDescent="0.45">
      <c r="D145" t="str">
        <f t="shared" si="10"/>
        <v>&lt;=150</v>
      </c>
      <c r="E145">
        <f t="shared" si="11"/>
        <v>0</v>
      </c>
      <c r="F145" s="1" t="e">
        <f>INDEX('App-Click Conversion by Rank'!$K$12:$S$31,MATCH(E145,'App-Click Conversion by Rank'!$J$12:$J$31,0),MATCH(D145,'App-Click Conversion by Rank'!$K$11:$S$11,0))</f>
        <v>#N/A</v>
      </c>
      <c r="G145" s="3" t="e">
        <f t="shared" si="12"/>
        <v>#N/A</v>
      </c>
      <c r="H145" s="5" t="e">
        <f t="shared" si="13"/>
        <v>#N/A</v>
      </c>
      <c r="I145">
        <f t="shared" si="14"/>
        <v>0</v>
      </c>
    </row>
    <row r="146" spans="4:9" x14ac:dyDescent="0.45">
      <c r="D146" t="str">
        <f t="shared" si="10"/>
        <v>&lt;=150</v>
      </c>
      <c r="E146">
        <f t="shared" si="11"/>
        <v>0</v>
      </c>
      <c r="F146" s="1" t="e">
        <f>INDEX('App-Click Conversion by Rank'!$K$12:$S$31,MATCH(E146,'App-Click Conversion by Rank'!$J$12:$J$31,0),MATCH(D146,'App-Click Conversion by Rank'!$K$11:$S$11,0))</f>
        <v>#N/A</v>
      </c>
      <c r="G146" s="3" t="e">
        <f t="shared" si="12"/>
        <v>#N/A</v>
      </c>
      <c r="H146" s="5" t="e">
        <f t="shared" si="13"/>
        <v>#N/A</v>
      </c>
      <c r="I146">
        <f t="shared" si="14"/>
        <v>0</v>
      </c>
    </row>
    <row r="147" spans="4:9" x14ac:dyDescent="0.45">
      <c r="D147" t="str">
        <f t="shared" si="10"/>
        <v>&lt;=150</v>
      </c>
      <c r="E147">
        <f t="shared" si="11"/>
        <v>0</v>
      </c>
      <c r="F147" s="1" t="e">
        <f>INDEX('App-Click Conversion by Rank'!$K$12:$S$31,MATCH(E147,'App-Click Conversion by Rank'!$J$12:$J$31,0),MATCH(D147,'App-Click Conversion by Rank'!$K$11:$S$11,0))</f>
        <v>#N/A</v>
      </c>
      <c r="G147" s="3" t="e">
        <f t="shared" si="12"/>
        <v>#N/A</v>
      </c>
      <c r="H147" s="5" t="e">
        <f t="shared" si="13"/>
        <v>#N/A</v>
      </c>
      <c r="I147">
        <f t="shared" si="14"/>
        <v>0</v>
      </c>
    </row>
    <row r="148" spans="4:9" x14ac:dyDescent="0.45">
      <c r="D148" t="str">
        <f t="shared" si="10"/>
        <v>&lt;=150</v>
      </c>
      <c r="E148">
        <f t="shared" si="11"/>
        <v>0</v>
      </c>
      <c r="F148" s="1" t="e">
        <f>INDEX('App-Click Conversion by Rank'!$K$12:$S$31,MATCH(E148,'App-Click Conversion by Rank'!$J$12:$J$31,0),MATCH(D148,'App-Click Conversion by Rank'!$K$11:$S$11,0))</f>
        <v>#N/A</v>
      </c>
      <c r="G148" s="3" t="e">
        <f t="shared" si="12"/>
        <v>#N/A</v>
      </c>
      <c r="H148" s="5" t="e">
        <f t="shared" si="13"/>
        <v>#N/A</v>
      </c>
      <c r="I148">
        <f t="shared" si="14"/>
        <v>0</v>
      </c>
    </row>
    <row r="149" spans="4:9" x14ac:dyDescent="0.45">
      <c r="D149" t="str">
        <f t="shared" si="10"/>
        <v>&lt;=150</v>
      </c>
      <c r="E149">
        <f t="shared" si="11"/>
        <v>0</v>
      </c>
      <c r="F149" s="1" t="e">
        <f>INDEX('App-Click Conversion by Rank'!$K$12:$S$31,MATCH(E149,'App-Click Conversion by Rank'!$J$12:$J$31,0),MATCH(D149,'App-Click Conversion by Rank'!$K$11:$S$11,0))</f>
        <v>#N/A</v>
      </c>
      <c r="G149" s="3" t="e">
        <f t="shared" si="12"/>
        <v>#N/A</v>
      </c>
      <c r="H149" s="5" t="e">
        <f t="shared" si="13"/>
        <v>#N/A</v>
      </c>
      <c r="I149">
        <f t="shared" si="14"/>
        <v>0</v>
      </c>
    </row>
    <row r="150" spans="4:9" x14ac:dyDescent="0.45">
      <c r="D150" t="str">
        <f t="shared" si="10"/>
        <v>&lt;=150</v>
      </c>
      <c r="E150">
        <f t="shared" si="11"/>
        <v>0</v>
      </c>
      <c r="F150" s="1" t="e">
        <f>INDEX('App-Click Conversion by Rank'!$K$12:$S$31,MATCH(E150,'App-Click Conversion by Rank'!$J$12:$J$31,0),MATCH(D150,'App-Click Conversion by Rank'!$K$11:$S$11,0))</f>
        <v>#N/A</v>
      </c>
      <c r="G150" s="3" t="e">
        <f t="shared" si="12"/>
        <v>#N/A</v>
      </c>
      <c r="H150" s="5" t="e">
        <f t="shared" si="13"/>
        <v>#N/A</v>
      </c>
      <c r="I150">
        <f t="shared" si="14"/>
        <v>0</v>
      </c>
    </row>
    <row r="151" spans="4:9" x14ac:dyDescent="0.45">
      <c r="D151" t="str">
        <f t="shared" si="10"/>
        <v>&lt;=150</v>
      </c>
      <c r="E151">
        <f t="shared" si="11"/>
        <v>0</v>
      </c>
      <c r="F151" s="1" t="e">
        <f>INDEX('App-Click Conversion by Rank'!$K$12:$S$31,MATCH(E151,'App-Click Conversion by Rank'!$J$12:$J$31,0),MATCH(D151,'App-Click Conversion by Rank'!$K$11:$S$11,0))</f>
        <v>#N/A</v>
      </c>
      <c r="G151" s="3" t="e">
        <f t="shared" si="12"/>
        <v>#N/A</v>
      </c>
      <c r="H151" s="5" t="e">
        <f t="shared" si="13"/>
        <v>#N/A</v>
      </c>
      <c r="I151">
        <f t="shared" si="14"/>
        <v>0</v>
      </c>
    </row>
    <row r="152" spans="4:9" x14ac:dyDescent="0.45">
      <c r="D152" t="str">
        <f t="shared" si="10"/>
        <v>&lt;=150</v>
      </c>
      <c r="E152">
        <f t="shared" si="11"/>
        <v>0</v>
      </c>
      <c r="F152" s="1" t="e">
        <f>INDEX('App-Click Conversion by Rank'!$K$12:$S$31,MATCH(E152,'App-Click Conversion by Rank'!$J$12:$J$31,0),MATCH(D152,'App-Click Conversion by Rank'!$K$11:$S$11,0))</f>
        <v>#N/A</v>
      </c>
      <c r="G152" s="3" t="e">
        <f t="shared" si="12"/>
        <v>#N/A</v>
      </c>
      <c r="H152" s="5" t="e">
        <f t="shared" si="13"/>
        <v>#N/A</v>
      </c>
      <c r="I152">
        <f t="shared" si="14"/>
        <v>0</v>
      </c>
    </row>
    <row r="153" spans="4:9" x14ac:dyDescent="0.45">
      <c r="D153" t="str">
        <f t="shared" si="10"/>
        <v>&lt;=150</v>
      </c>
      <c r="E153">
        <f t="shared" si="11"/>
        <v>0</v>
      </c>
      <c r="F153" s="1" t="e">
        <f>INDEX('App-Click Conversion by Rank'!$K$12:$S$31,MATCH(E153,'App-Click Conversion by Rank'!$J$12:$J$31,0),MATCH(D153,'App-Click Conversion by Rank'!$K$11:$S$11,0))</f>
        <v>#N/A</v>
      </c>
      <c r="G153" s="3" t="e">
        <f t="shared" si="12"/>
        <v>#N/A</v>
      </c>
      <c r="H153" s="5" t="e">
        <f t="shared" si="13"/>
        <v>#N/A</v>
      </c>
      <c r="I153">
        <f t="shared" si="14"/>
        <v>0</v>
      </c>
    </row>
    <row r="154" spans="4:9" x14ac:dyDescent="0.45">
      <c r="D154" t="str">
        <f t="shared" si="10"/>
        <v>&lt;=150</v>
      </c>
      <c r="E154">
        <f t="shared" si="11"/>
        <v>0</v>
      </c>
      <c r="F154" s="1" t="e">
        <f>INDEX('App-Click Conversion by Rank'!$K$12:$S$31,MATCH(E154,'App-Click Conversion by Rank'!$J$12:$J$31,0),MATCH(D154,'App-Click Conversion by Rank'!$K$11:$S$11,0))</f>
        <v>#N/A</v>
      </c>
      <c r="G154" s="3" t="e">
        <f t="shared" si="12"/>
        <v>#N/A</v>
      </c>
      <c r="H154" s="5" t="e">
        <f t="shared" si="13"/>
        <v>#N/A</v>
      </c>
      <c r="I154">
        <f t="shared" si="14"/>
        <v>0</v>
      </c>
    </row>
    <row r="155" spans="4:9" x14ac:dyDescent="0.45">
      <c r="D155" t="str">
        <f t="shared" si="10"/>
        <v>&lt;=150</v>
      </c>
      <c r="E155">
        <f t="shared" si="11"/>
        <v>0</v>
      </c>
      <c r="F155" s="1" t="e">
        <f>INDEX('App-Click Conversion by Rank'!$K$12:$S$31,MATCH(E155,'App-Click Conversion by Rank'!$J$12:$J$31,0),MATCH(D155,'App-Click Conversion by Rank'!$K$11:$S$11,0))</f>
        <v>#N/A</v>
      </c>
      <c r="G155" s="3" t="e">
        <f t="shared" si="12"/>
        <v>#N/A</v>
      </c>
      <c r="H155" s="5" t="e">
        <f t="shared" si="13"/>
        <v>#N/A</v>
      </c>
      <c r="I155">
        <f t="shared" si="14"/>
        <v>0</v>
      </c>
    </row>
    <row r="156" spans="4:9" x14ac:dyDescent="0.45">
      <c r="D156" t="str">
        <f t="shared" si="10"/>
        <v>&lt;=150</v>
      </c>
      <c r="E156">
        <f t="shared" si="11"/>
        <v>0</v>
      </c>
      <c r="F156" s="1" t="e">
        <f>INDEX('App-Click Conversion by Rank'!$K$12:$S$31,MATCH(E156,'App-Click Conversion by Rank'!$J$12:$J$31,0),MATCH(D156,'App-Click Conversion by Rank'!$K$11:$S$11,0))</f>
        <v>#N/A</v>
      </c>
      <c r="G156" s="3" t="e">
        <f t="shared" si="12"/>
        <v>#N/A</v>
      </c>
      <c r="H156" s="5" t="e">
        <f t="shared" si="13"/>
        <v>#N/A</v>
      </c>
      <c r="I156">
        <f t="shared" si="14"/>
        <v>0</v>
      </c>
    </row>
    <row r="157" spans="4:9" x14ac:dyDescent="0.45">
      <c r="D157" t="str">
        <f t="shared" si="10"/>
        <v>&lt;=150</v>
      </c>
      <c r="E157">
        <f t="shared" si="11"/>
        <v>0</v>
      </c>
      <c r="F157" s="1" t="e">
        <f>INDEX('App-Click Conversion by Rank'!$K$12:$S$31,MATCH(E157,'App-Click Conversion by Rank'!$J$12:$J$31,0),MATCH(D157,'App-Click Conversion by Rank'!$K$11:$S$11,0))</f>
        <v>#N/A</v>
      </c>
      <c r="G157" s="3" t="e">
        <f t="shared" si="12"/>
        <v>#N/A</v>
      </c>
      <c r="H157" s="5" t="e">
        <f t="shared" si="13"/>
        <v>#N/A</v>
      </c>
      <c r="I157">
        <f t="shared" si="14"/>
        <v>0</v>
      </c>
    </row>
    <row r="158" spans="4:9" x14ac:dyDescent="0.45">
      <c r="D158" t="str">
        <f t="shared" si="10"/>
        <v>&lt;=150</v>
      </c>
      <c r="E158">
        <f t="shared" si="11"/>
        <v>0</v>
      </c>
      <c r="F158" s="1" t="e">
        <f>INDEX('App-Click Conversion by Rank'!$K$12:$S$31,MATCH(E158,'App-Click Conversion by Rank'!$J$12:$J$31,0),MATCH(D158,'App-Click Conversion by Rank'!$K$11:$S$11,0))</f>
        <v>#N/A</v>
      </c>
      <c r="G158" s="3" t="e">
        <f t="shared" si="12"/>
        <v>#N/A</v>
      </c>
      <c r="H158" s="5" t="e">
        <f t="shared" si="13"/>
        <v>#N/A</v>
      </c>
      <c r="I158">
        <f t="shared" si="14"/>
        <v>0</v>
      </c>
    </row>
    <row r="159" spans="4:9" x14ac:dyDescent="0.45">
      <c r="D159" t="str">
        <f t="shared" si="10"/>
        <v>&lt;=150</v>
      </c>
      <c r="E159">
        <f t="shared" si="11"/>
        <v>0</v>
      </c>
      <c r="F159" s="1" t="e">
        <f>INDEX('App-Click Conversion by Rank'!$K$12:$S$31,MATCH(E159,'App-Click Conversion by Rank'!$J$12:$J$31,0),MATCH(D159,'App-Click Conversion by Rank'!$K$11:$S$11,0))</f>
        <v>#N/A</v>
      </c>
      <c r="G159" s="3" t="e">
        <f t="shared" si="12"/>
        <v>#N/A</v>
      </c>
      <c r="H159" s="5" t="e">
        <f t="shared" si="13"/>
        <v>#N/A</v>
      </c>
      <c r="I159">
        <f t="shared" si="14"/>
        <v>0</v>
      </c>
    </row>
    <row r="160" spans="4:9" x14ac:dyDescent="0.45">
      <c r="D160" t="str">
        <f t="shared" si="10"/>
        <v>&lt;=150</v>
      </c>
      <c r="E160">
        <f t="shared" si="11"/>
        <v>0</v>
      </c>
      <c r="F160" s="1" t="e">
        <f>INDEX('App-Click Conversion by Rank'!$K$12:$S$31,MATCH(E160,'App-Click Conversion by Rank'!$J$12:$J$31,0),MATCH(D160,'App-Click Conversion by Rank'!$K$11:$S$11,0))</f>
        <v>#N/A</v>
      </c>
      <c r="G160" s="3" t="e">
        <f t="shared" si="12"/>
        <v>#N/A</v>
      </c>
      <c r="H160" s="5" t="e">
        <f t="shared" si="13"/>
        <v>#N/A</v>
      </c>
      <c r="I160">
        <f t="shared" si="14"/>
        <v>0</v>
      </c>
    </row>
    <row r="161" spans="4:9" x14ac:dyDescent="0.45">
      <c r="D161" t="str">
        <f t="shared" si="10"/>
        <v>&lt;=150</v>
      </c>
      <c r="E161">
        <f t="shared" si="11"/>
        <v>0</v>
      </c>
      <c r="F161" s="1" t="e">
        <f>INDEX('App-Click Conversion by Rank'!$K$12:$S$31,MATCH(E161,'App-Click Conversion by Rank'!$J$12:$J$31,0),MATCH(D161,'App-Click Conversion by Rank'!$K$11:$S$11,0))</f>
        <v>#N/A</v>
      </c>
      <c r="G161" s="3" t="e">
        <f t="shared" si="12"/>
        <v>#N/A</v>
      </c>
      <c r="H161" s="5" t="e">
        <f t="shared" si="13"/>
        <v>#N/A</v>
      </c>
      <c r="I161">
        <f t="shared" si="14"/>
        <v>0</v>
      </c>
    </row>
    <row r="162" spans="4:9" x14ac:dyDescent="0.45">
      <c r="D162" t="str">
        <f t="shared" si="10"/>
        <v>&lt;=150</v>
      </c>
      <c r="E162">
        <f t="shared" si="11"/>
        <v>0</v>
      </c>
      <c r="F162" s="1" t="e">
        <f>INDEX('App-Click Conversion by Rank'!$K$12:$S$31,MATCH(E162,'App-Click Conversion by Rank'!$J$12:$J$31,0),MATCH(D162,'App-Click Conversion by Rank'!$K$11:$S$11,0))</f>
        <v>#N/A</v>
      </c>
      <c r="G162" s="3" t="e">
        <f t="shared" si="12"/>
        <v>#N/A</v>
      </c>
      <c r="H162" s="5" t="e">
        <f t="shared" si="13"/>
        <v>#N/A</v>
      </c>
      <c r="I162">
        <f t="shared" si="14"/>
        <v>0</v>
      </c>
    </row>
    <row r="163" spans="4:9" x14ac:dyDescent="0.45">
      <c r="D163" t="str">
        <f t="shared" si="10"/>
        <v>&lt;=150</v>
      </c>
      <c r="E163">
        <f t="shared" si="11"/>
        <v>0</v>
      </c>
      <c r="F163" s="1" t="e">
        <f>INDEX('App-Click Conversion by Rank'!$K$12:$S$31,MATCH(E163,'App-Click Conversion by Rank'!$J$12:$J$31,0),MATCH(D163,'App-Click Conversion by Rank'!$K$11:$S$11,0))</f>
        <v>#N/A</v>
      </c>
      <c r="G163" s="3" t="e">
        <f t="shared" si="12"/>
        <v>#N/A</v>
      </c>
      <c r="H163" s="5" t="e">
        <f t="shared" si="13"/>
        <v>#N/A</v>
      </c>
      <c r="I163">
        <f t="shared" si="14"/>
        <v>0</v>
      </c>
    </row>
    <row r="164" spans="4:9" x14ac:dyDescent="0.45">
      <c r="D164" t="str">
        <f t="shared" si="10"/>
        <v>&lt;=150</v>
      </c>
      <c r="E164">
        <f t="shared" si="11"/>
        <v>0</v>
      </c>
      <c r="F164" s="1" t="e">
        <f>INDEX('App-Click Conversion by Rank'!$K$12:$S$31,MATCH(E164,'App-Click Conversion by Rank'!$J$12:$J$31,0),MATCH(D164,'App-Click Conversion by Rank'!$K$11:$S$11,0))</f>
        <v>#N/A</v>
      </c>
      <c r="G164" s="3" t="e">
        <f t="shared" si="12"/>
        <v>#N/A</v>
      </c>
      <c r="H164" s="5" t="e">
        <f t="shared" si="13"/>
        <v>#N/A</v>
      </c>
      <c r="I164">
        <f t="shared" si="14"/>
        <v>0</v>
      </c>
    </row>
    <row r="165" spans="4:9" x14ac:dyDescent="0.45">
      <c r="D165" t="str">
        <f t="shared" si="10"/>
        <v>&lt;=150</v>
      </c>
      <c r="E165">
        <f t="shared" si="11"/>
        <v>0</v>
      </c>
      <c r="F165" s="1" t="e">
        <f>INDEX('App-Click Conversion by Rank'!$K$12:$S$31,MATCH(E165,'App-Click Conversion by Rank'!$J$12:$J$31,0),MATCH(D165,'App-Click Conversion by Rank'!$K$11:$S$11,0))</f>
        <v>#N/A</v>
      </c>
      <c r="G165" s="3" t="e">
        <f t="shared" si="12"/>
        <v>#N/A</v>
      </c>
      <c r="H165" s="5" t="e">
        <f t="shared" si="13"/>
        <v>#N/A</v>
      </c>
      <c r="I165">
        <f t="shared" si="14"/>
        <v>0</v>
      </c>
    </row>
    <row r="166" spans="4:9" x14ac:dyDescent="0.45">
      <c r="D166" t="str">
        <f t="shared" si="10"/>
        <v>&lt;=150</v>
      </c>
      <c r="E166">
        <f t="shared" si="11"/>
        <v>0</v>
      </c>
      <c r="F166" s="1" t="e">
        <f>INDEX('App-Click Conversion by Rank'!$K$12:$S$31,MATCH(E166,'App-Click Conversion by Rank'!$J$12:$J$31,0),MATCH(D166,'App-Click Conversion by Rank'!$K$11:$S$11,0))</f>
        <v>#N/A</v>
      </c>
      <c r="G166" s="3" t="e">
        <f t="shared" si="12"/>
        <v>#N/A</v>
      </c>
      <c r="H166" s="5" t="e">
        <f t="shared" si="13"/>
        <v>#N/A</v>
      </c>
      <c r="I166">
        <f t="shared" si="14"/>
        <v>0</v>
      </c>
    </row>
    <row r="167" spans="4:9" x14ac:dyDescent="0.45">
      <c r="D167" t="str">
        <f t="shared" si="10"/>
        <v>&lt;=150</v>
      </c>
      <c r="E167">
        <f t="shared" si="11"/>
        <v>0</v>
      </c>
      <c r="F167" s="1" t="e">
        <f>INDEX('App-Click Conversion by Rank'!$K$12:$S$31,MATCH(E167,'App-Click Conversion by Rank'!$J$12:$J$31,0),MATCH(D167,'App-Click Conversion by Rank'!$K$11:$S$11,0))</f>
        <v>#N/A</v>
      </c>
      <c r="G167" s="3" t="e">
        <f t="shared" si="12"/>
        <v>#N/A</v>
      </c>
      <c r="H167" s="5" t="e">
        <f t="shared" si="13"/>
        <v>#N/A</v>
      </c>
      <c r="I167">
        <f t="shared" si="14"/>
        <v>0</v>
      </c>
    </row>
    <row r="168" spans="4:9" x14ac:dyDescent="0.45">
      <c r="D168" t="str">
        <f t="shared" si="10"/>
        <v>&lt;=150</v>
      </c>
      <c r="E168">
        <f t="shared" si="11"/>
        <v>0</v>
      </c>
      <c r="F168" s="1" t="e">
        <f>INDEX('App-Click Conversion by Rank'!$K$12:$S$31,MATCH(E168,'App-Click Conversion by Rank'!$J$12:$J$31,0),MATCH(D168,'App-Click Conversion by Rank'!$K$11:$S$11,0))</f>
        <v>#N/A</v>
      </c>
      <c r="G168" s="3" t="e">
        <f t="shared" si="12"/>
        <v>#N/A</v>
      </c>
      <c r="H168" s="5" t="e">
        <f t="shared" si="13"/>
        <v>#N/A</v>
      </c>
      <c r="I168">
        <f t="shared" si="14"/>
        <v>0</v>
      </c>
    </row>
    <row r="169" spans="4:9" x14ac:dyDescent="0.45">
      <c r="D169" t="str">
        <f t="shared" si="10"/>
        <v>&lt;=150</v>
      </c>
      <c r="E169">
        <f t="shared" si="11"/>
        <v>0</v>
      </c>
      <c r="F169" s="1" t="e">
        <f>INDEX('App-Click Conversion by Rank'!$K$12:$S$31,MATCH(E169,'App-Click Conversion by Rank'!$J$12:$J$31,0),MATCH(D169,'App-Click Conversion by Rank'!$K$11:$S$11,0))</f>
        <v>#N/A</v>
      </c>
      <c r="G169" s="3" t="e">
        <f t="shared" si="12"/>
        <v>#N/A</v>
      </c>
      <c r="H169" s="5" t="e">
        <f t="shared" si="13"/>
        <v>#N/A</v>
      </c>
      <c r="I169">
        <f t="shared" si="14"/>
        <v>0</v>
      </c>
    </row>
    <row r="170" spans="4:9" x14ac:dyDescent="0.45">
      <c r="D170" t="str">
        <f t="shared" si="10"/>
        <v>&lt;=150</v>
      </c>
      <c r="E170">
        <f t="shared" si="11"/>
        <v>0</v>
      </c>
      <c r="F170" s="1" t="e">
        <f>INDEX('App-Click Conversion by Rank'!$K$12:$S$31,MATCH(E170,'App-Click Conversion by Rank'!$J$12:$J$31,0),MATCH(D170,'App-Click Conversion by Rank'!$K$11:$S$11,0))</f>
        <v>#N/A</v>
      </c>
      <c r="G170" s="3" t="e">
        <f t="shared" si="12"/>
        <v>#N/A</v>
      </c>
      <c r="H170" s="5" t="e">
        <f t="shared" si="13"/>
        <v>#N/A</v>
      </c>
      <c r="I170">
        <f t="shared" si="14"/>
        <v>0</v>
      </c>
    </row>
    <row r="171" spans="4:9" x14ac:dyDescent="0.45">
      <c r="D171" t="str">
        <f t="shared" si="10"/>
        <v>&lt;=150</v>
      </c>
      <c r="E171">
        <f t="shared" si="11"/>
        <v>0</v>
      </c>
      <c r="F171" s="1" t="e">
        <f>INDEX('App-Click Conversion by Rank'!$K$12:$S$31,MATCH(E171,'App-Click Conversion by Rank'!$J$12:$J$31,0),MATCH(D171,'App-Click Conversion by Rank'!$K$11:$S$11,0))</f>
        <v>#N/A</v>
      </c>
      <c r="G171" s="3" t="e">
        <f t="shared" si="12"/>
        <v>#N/A</v>
      </c>
      <c r="H171" s="5" t="e">
        <f t="shared" si="13"/>
        <v>#N/A</v>
      </c>
      <c r="I171">
        <f t="shared" si="14"/>
        <v>0</v>
      </c>
    </row>
    <row r="172" spans="4:9" x14ac:dyDescent="0.45">
      <c r="D172" t="str">
        <f t="shared" si="10"/>
        <v>&lt;=150</v>
      </c>
      <c r="E172">
        <f t="shared" si="11"/>
        <v>0</v>
      </c>
      <c r="F172" s="1" t="e">
        <f>INDEX('App-Click Conversion by Rank'!$K$12:$S$31,MATCH(E172,'App-Click Conversion by Rank'!$J$12:$J$31,0),MATCH(D172,'App-Click Conversion by Rank'!$K$11:$S$11,0))</f>
        <v>#N/A</v>
      </c>
      <c r="G172" s="3" t="e">
        <f t="shared" si="12"/>
        <v>#N/A</v>
      </c>
      <c r="H172" s="5" t="e">
        <f t="shared" si="13"/>
        <v>#N/A</v>
      </c>
      <c r="I172">
        <f t="shared" si="14"/>
        <v>0</v>
      </c>
    </row>
    <row r="173" spans="4:9" x14ac:dyDescent="0.45">
      <c r="D173" t="str">
        <f t="shared" si="10"/>
        <v>&lt;=150</v>
      </c>
      <c r="E173">
        <f t="shared" si="11"/>
        <v>0</v>
      </c>
      <c r="F173" s="1" t="e">
        <f>INDEX('App-Click Conversion by Rank'!$K$12:$S$31,MATCH(E173,'App-Click Conversion by Rank'!$J$12:$J$31,0),MATCH(D173,'App-Click Conversion by Rank'!$K$11:$S$11,0))</f>
        <v>#N/A</v>
      </c>
      <c r="G173" s="3" t="e">
        <f t="shared" si="12"/>
        <v>#N/A</v>
      </c>
      <c r="H173" s="5" t="e">
        <f t="shared" si="13"/>
        <v>#N/A</v>
      </c>
      <c r="I173">
        <f t="shared" si="14"/>
        <v>0</v>
      </c>
    </row>
    <row r="174" spans="4:9" x14ac:dyDescent="0.45">
      <c r="D174" t="str">
        <f t="shared" si="10"/>
        <v>&lt;=150</v>
      </c>
      <c r="E174">
        <f t="shared" si="11"/>
        <v>0</v>
      </c>
      <c r="F174" s="1" t="e">
        <f>INDEX('App-Click Conversion by Rank'!$K$12:$S$31,MATCH(E174,'App-Click Conversion by Rank'!$J$12:$J$31,0),MATCH(D174,'App-Click Conversion by Rank'!$K$11:$S$11,0))</f>
        <v>#N/A</v>
      </c>
      <c r="G174" s="3" t="e">
        <f t="shared" si="12"/>
        <v>#N/A</v>
      </c>
      <c r="H174" s="5" t="e">
        <f t="shared" si="13"/>
        <v>#N/A</v>
      </c>
      <c r="I174">
        <f t="shared" si="14"/>
        <v>0</v>
      </c>
    </row>
    <row r="175" spans="4:9" x14ac:dyDescent="0.45">
      <c r="D175" t="str">
        <f t="shared" si="10"/>
        <v>&lt;=150</v>
      </c>
      <c r="E175">
        <f t="shared" si="11"/>
        <v>0</v>
      </c>
      <c r="F175" s="1" t="e">
        <f>INDEX('App-Click Conversion by Rank'!$K$12:$S$31,MATCH(E175,'App-Click Conversion by Rank'!$J$12:$J$31,0),MATCH(D175,'App-Click Conversion by Rank'!$K$11:$S$11,0))</f>
        <v>#N/A</v>
      </c>
      <c r="G175" s="3" t="e">
        <f t="shared" si="12"/>
        <v>#N/A</v>
      </c>
      <c r="H175" s="5" t="e">
        <f t="shared" si="13"/>
        <v>#N/A</v>
      </c>
      <c r="I175">
        <f t="shared" si="14"/>
        <v>0</v>
      </c>
    </row>
    <row r="176" spans="4:9" x14ac:dyDescent="0.45">
      <c r="D176" t="str">
        <f t="shared" si="10"/>
        <v>&lt;=150</v>
      </c>
      <c r="E176">
        <f t="shared" si="11"/>
        <v>0</v>
      </c>
      <c r="F176" s="1" t="e">
        <f>INDEX('App-Click Conversion by Rank'!$K$12:$S$31,MATCH(E176,'App-Click Conversion by Rank'!$J$12:$J$31,0),MATCH(D176,'App-Click Conversion by Rank'!$K$11:$S$11,0))</f>
        <v>#N/A</v>
      </c>
      <c r="G176" s="3" t="e">
        <f t="shared" si="12"/>
        <v>#N/A</v>
      </c>
      <c r="H176" s="5" t="e">
        <f t="shared" si="13"/>
        <v>#N/A</v>
      </c>
      <c r="I176">
        <f t="shared" si="14"/>
        <v>0</v>
      </c>
    </row>
    <row r="177" spans="4:9" x14ac:dyDescent="0.45">
      <c r="D177" t="str">
        <f t="shared" si="10"/>
        <v>&lt;=150</v>
      </c>
      <c r="E177">
        <f t="shared" si="11"/>
        <v>0</v>
      </c>
      <c r="F177" s="1" t="e">
        <f>INDEX('App-Click Conversion by Rank'!$K$12:$S$31,MATCH(E177,'App-Click Conversion by Rank'!$J$12:$J$31,0),MATCH(D177,'App-Click Conversion by Rank'!$K$11:$S$11,0))</f>
        <v>#N/A</v>
      </c>
      <c r="G177" s="3" t="e">
        <f t="shared" si="12"/>
        <v>#N/A</v>
      </c>
      <c r="H177" s="5" t="e">
        <f t="shared" si="13"/>
        <v>#N/A</v>
      </c>
      <c r="I177">
        <f t="shared" si="14"/>
        <v>0</v>
      </c>
    </row>
    <row r="178" spans="4:9" x14ac:dyDescent="0.45">
      <c r="D178" t="str">
        <f t="shared" si="10"/>
        <v>&lt;=150</v>
      </c>
      <c r="E178">
        <f t="shared" si="11"/>
        <v>0</v>
      </c>
      <c r="F178" s="1" t="e">
        <f>INDEX('App-Click Conversion by Rank'!$K$12:$S$31,MATCH(E178,'App-Click Conversion by Rank'!$J$12:$J$31,0),MATCH(D178,'App-Click Conversion by Rank'!$K$11:$S$11,0))</f>
        <v>#N/A</v>
      </c>
      <c r="G178" s="3" t="e">
        <f t="shared" si="12"/>
        <v>#N/A</v>
      </c>
      <c r="H178" s="5" t="e">
        <f t="shared" si="13"/>
        <v>#N/A</v>
      </c>
      <c r="I178">
        <f t="shared" si="14"/>
        <v>0</v>
      </c>
    </row>
    <row r="179" spans="4:9" x14ac:dyDescent="0.45">
      <c r="D179" t="str">
        <f t="shared" si="10"/>
        <v>&lt;=150</v>
      </c>
      <c r="E179">
        <f t="shared" si="11"/>
        <v>0</v>
      </c>
      <c r="F179" s="1" t="e">
        <f>INDEX('App-Click Conversion by Rank'!$K$12:$S$31,MATCH(E179,'App-Click Conversion by Rank'!$J$12:$J$31,0),MATCH(D179,'App-Click Conversion by Rank'!$K$11:$S$11,0))</f>
        <v>#N/A</v>
      </c>
      <c r="G179" s="3" t="e">
        <f t="shared" si="12"/>
        <v>#N/A</v>
      </c>
      <c r="H179" s="5" t="e">
        <f t="shared" si="13"/>
        <v>#N/A</v>
      </c>
      <c r="I179">
        <f t="shared" si="14"/>
        <v>0</v>
      </c>
    </row>
    <row r="180" spans="4:9" x14ac:dyDescent="0.45">
      <c r="D180" t="str">
        <f t="shared" si="10"/>
        <v>&lt;=150</v>
      </c>
      <c r="E180">
        <f t="shared" si="11"/>
        <v>0</v>
      </c>
      <c r="F180" s="1" t="e">
        <f>INDEX('App-Click Conversion by Rank'!$K$12:$S$31,MATCH(E180,'App-Click Conversion by Rank'!$J$12:$J$31,0),MATCH(D180,'App-Click Conversion by Rank'!$K$11:$S$11,0))</f>
        <v>#N/A</v>
      </c>
      <c r="G180" s="3" t="e">
        <f t="shared" si="12"/>
        <v>#N/A</v>
      </c>
      <c r="H180" s="5" t="e">
        <f t="shared" si="13"/>
        <v>#N/A</v>
      </c>
      <c r="I180">
        <f t="shared" si="14"/>
        <v>0</v>
      </c>
    </row>
    <row r="181" spans="4:9" x14ac:dyDescent="0.45">
      <c r="D181" t="str">
        <f t="shared" si="10"/>
        <v>&lt;=150</v>
      </c>
      <c r="E181">
        <f t="shared" si="11"/>
        <v>0</v>
      </c>
      <c r="F181" s="1" t="e">
        <f>INDEX('App-Click Conversion by Rank'!$K$12:$S$31,MATCH(E181,'App-Click Conversion by Rank'!$J$12:$J$31,0),MATCH(D181,'App-Click Conversion by Rank'!$K$11:$S$11,0))</f>
        <v>#N/A</v>
      </c>
      <c r="G181" s="3" t="e">
        <f t="shared" si="12"/>
        <v>#N/A</v>
      </c>
      <c r="H181" s="5" t="e">
        <f t="shared" si="13"/>
        <v>#N/A</v>
      </c>
      <c r="I181">
        <f t="shared" si="14"/>
        <v>0</v>
      </c>
    </row>
    <row r="182" spans="4:9" x14ac:dyDescent="0.45">
      <c r="D182" t="str">
        <f t="shared" si="10"/>
        <v>&lt;=150</v>
      </c>
      <c r="E182">
        <f t="shared" si="11"/>
        <v>0</v>
      </c>
      <c r="F182" s="1" t="e">
        <f>INDEX('App-Click Conversion by Rank'!$K$12:$S$31,MATCH(E182,'App-Click Conversion by Rank'!$J$12:$J$31,0),MATCH(D182,'App-Click Conversion by Rank'!$K$11:$S$11,0))</f>
        <v>#N/A</v>
      </c>
      <c r="G182" s="3" t="e">
        <f t="shared" si="12"/>
        <v>#N/A</v>
      </c>
      <c r="H182" s="5" t="e">
        <f t="shared" si="13"/>
        <v>#N/A</v>
      </c>
      <c r="I182">
        <f t="shared" si="14"/>
        <v>0</v>
      </c>
    </row>
    <row r="183" spans="4:9" x14ac:dyDescent="0.45">
      <c r="D183" t="str">
        <f t="shared" si="10"/>
        <v>&lt;=150</v>
      </c>
      <c r="E183">
        <f t="shared" si="11"/>
        <v>0</v>
      </c>
      <c r="F183" s="1" t="e">
        <f>INDEX('App-Click Conversion by Rank'!$K$12:$S$31,MATCH(E183,'App-Click Conversion by Rank'!$J$12:$J$31,0),MATCH(D183,'App-Click Conversion by Rank'!$K$11:$S$11,0))</f>
        <v>#N/A</v>
      </c>
      <c r="G183" s="3" t="e">
        <f t="shared" si="12"/>
        <v>#N/A</v>
      </c>
      <c r="H183" s="5" t="e">
        <f t="shared" si="13"/>
        <v>#N/A</v>
      </c>
      <c r="I183">
        <f t="shared" si="14"/>
        <v>0</v>
      </c>
    </row>
    <row r="184" spans="4:9" x14ac:dyDescent="0.45">
      <c r="D184" t="str">
        <f t="shared" si="10"/>
        <v>&lt;=150</v>
      </c>
      <c r="E184">
        <f t="shared" si="11"/>
        <v>0</v>
      </c>
      <c r="F184" s="1" t="e">
        <f>INDEX('App-Click Conversion by Rank'!$K$12:$S$31,MATCH(E184,'App-Click Conversion by Rank'!$J$12:$J$31,0),MATCH(D184,'App-Click Conversion by Rank'!$K$11:$S$11,0))</f>
        <v>#N/A</v>
      </c>
      <c r="G184" s="3" t="e">
        <f t="shared" si="12"/>
        <v>#N/A</v>
      </c>
      <c r="H184" s="5" t="e">
        <f t="shared" si="13"/>
        <v>#N/A</v>
      </c>
      <c r="I184">
        <f t="shared" si="14"/>
        <v>0</v>
      </c>
    </row>
    <row r="185" spans="4:9" x14ac:dyDescent="0.45">
      <c r="D185" t="str">
        <f t="shared" si="10"/>
        <v>&lt;=150</v>
      </c>
      <c r="E185">
        <f t="shared" si="11"/>
        <v>0</v>
      </c>
      <c r="F185" s="1" t="e">
        <f>INDEX('App-Click Conversion by Rank'!$K$12:$S$31,MATCH(E185,'App-Click Conversion by Rank'!$J$12:$J$31,0),MATCH(D185,'App-Click Conversion by Rank'!$K$11:$S$11,0))</f>
        <v>#N/A</v>
      </c>
      <c r="G185" s="3" t="e">
        <f t="shared" si="12"/>
        <v>#N/A</v>
      </c>
      <c r="H185" s="5" t="e">
        <f t="shared" si="13"/>
        <v>#N/A</v>
      </c>
      <c r="I185">
        <f t="shared" si="14"/>
        <v>0</v>
      </c>
    </row>
    <row r="186" spans="4:9" x14ac:dyDescent="0.45">
      <c r="D186" t="str">
        <f t="shared" si="10"/>
        <v>&lt;=150</v>
      </c>
      <c r="E186">
        <f t="shared" si="11"/>
        <v>0</v>
      </c>
      <c r="F186" s="1" t="e">
        <f>INDEX('App-Click Conversion by Rank'!$K$12:$S$31,MATCH(E186,'App-Click Conversion by Rank'!$J$12:$J$31,0),MATCH(D186,'App-Click Conversion by Rank'!$K$11:$S$11,0))</f>
        <v>#N/A</v>
      </c>
      <c r="G186" s="3" t="e">
        <f t="shared" si="12"/>
        <v>#N/A</v>
      </c>
      <c r="H186" s="5" t="e">
        <f t="shared" si="13"/>
        <v>#N/A</v>
      </c>
      <c r="I186">
        <f t="shared" si="14"/>
        <v>0</v>
      </c>
    </row>
    <row r="187" spans="4:9" x14ac:dyDescent="0.45">
      <c r="D187" t="str">
        <f t="shared" si="10"/>
        <v>&lt;=150</v>
      </c>
      <c r="E187">
        <f t="shared" si="11"/>
        <v>0</v>
      </c>
      <c r="F187" s="1" t="e">
        <f>INDEX('App-Click Conversion by Rank'!$K$12:$S$31,MATCH(E187,'App-Click Conversion by Rank'!$J$12:$J$31,0),MATCH(D187,'App-Click Conversion by Rank'!$K$11:$S$11,0))</f>
        <v>#N/A</v>
      </c>
      <c r="G187" s="3" t="e">
        <f t="shared" si="12"/>
        <v>#N/A</v>
      </c>
      <c r="H187" s="5" t="e">
        <f t="shared" si="13"/>
        <v>#N/A</v>
      </c>
      <c r="I187">
        <f t="shared" si="14"/>
        <v>0</v>
      </c>
    </row>
    <row r="188" spans="4:9" x14ac:dyDescent="0.45">
      <c r="D188" t="str">
        <f t="shared" si="10"/>
        <v>&lt;=150</v>
      </c>
      <c r="E188">
        <f t="shared" si="11"/>
        <v>0</v>
      </c>
      <c r="F188" s="1" t="e">
        <f>INDEX('App-Click Conversion by Rank'!$K$12:$S$31,MATCH(E188,'App-Click Conversion by Rank'!$J$12:$J$31,0),MATCH(D188,'App-Click Conversion by Rank'!$K$11:$S$11,0))</f>
        <v>#N/A</v>
      </c>
      <c r="G188" s="3" t="e">
        <f t="shared" si="12"/>
        <v>#N/A</v>
      </c>
      <c r="H188" s="5" t="e">
        <f t="shared" si="13"/>
        <v>#N/A</v>
      </c>
      <c r="I188">
        <f t="shared" si="14"/>
        <v>0</v>
      </c>
    </row>
    <row r="189" spans="4:9" x14ac:dyDescent="0.45">
      <c r="D189" t="str">
        <f t="shared" si="10"/>
        <v>&lt;=150</v>
      </c>
      <c r="E189">
        <f t="shared" si="11"/>
        <v>0</v>
      </c>
      <c r="F189" s="1" t="e">
        <f>INDEX('App-Click Conversion by Rank'!$K$12:$S$31,MATCH(E189,'App-Click Conversion by Rank'!$J$12:$J$31,0),MATCH(D189,'App-Click Conversion by Rank'!$K$11:$S$11,0))</f>
        <v>#N/A</v>
      </c>
      <c r="G189" s="3" t="e">
        <f t="shared" si="12"/>
        <v>#N/A</v>
      </c>
      <c r="H189" s="5" t="e">
        <f t="shared" si="13"/>
        <v>#N/A</v>
      </c>
      <c r="I189">
        <f t="shared" si="14"/>
        <v>0</v>
      </c>
    </row>
    <row r="190" spans="4:9" x14ac:dyDescent="0.45">
      <c r="D190" t="str">
        <f t="shared" si="10"/>
        <v>&lt;=150</v>
      </c>
      <c r="E190">
        <f t="shared" si="11"/>
        <v>0</v>
      </c>
      <c r="F190" s="1" t="e">
        <f>INDEX('App-Click Conversion by Rank'!$K$12:$S$31,MATCH(E190,'App-Click Conversion by Rank'!$J$12:$J$31,0),MATCH(D190,'App-Click Conversion by Rank'!$K$11:$S$11,0))</f>
        <v>#N/A</v>
      </c>
      <c r="G190" s="3" t="e">
        <f t="shared" si="12"/>
        <v>#N/A</v>
      </c>
      <c r="H190" s="5" t="e">
        <f t="shared" si="13"/>
        <v>#N/A</v>
      </c>
      <c r="I190">
        <f t="shared" si="14"/>
        <v>0</v>
      </c>
    </row>
    <row r="191" spans="4:9" x14ac:dyDescent="0.45">
      <c r="D191" t="str">
        <f t="shared" si="10"/>
        <v>&lt;=150</v>
      </c>
      <c r="E191">
        <f t="shared" si="11"/>
        <v>0</v>
      </c>
      <c r="F191" s="1" t="e">
        <f>INDEX('App-Click Conversion by Rank'!$K$12:$S$31,MATCH(E191,'App-Click Conversion by Rank'!$J$12:$J$31,0),MATCH(D191,'App-Click Conversion by Rank'!$K$11:$S$11,0))</f>
        <v>#N/A</v>
      </c>
      <c r="G191" s="3" t="e">
        <f t="shared" si="12"/>
        <v>#N/A</v>
      </c>
      <c r="H191" s="5" t="e">
        <f t="shared" si="13"/>
        <v>#N/A</v>
      </c>
      <c r="I191">
        <f t="shared" si="14"/>
        <v>0</v>
      </c>
    </row>
    <row r="192" spans="4:9" x14ac:dyDescent="0.45">
      <c r="D192" t="str">
        <f t="shared" si="10"/>
        <v>&lt;=150</v>
      </c>
      <c r="E192">
        <f t="shared" si="11"/>
        <v>0</v>
      </c>
      <c r="F192" s="1" t="e">
        <f>INDEX('App-Click Conversion by Rank'!$K$12:$S$31,MATCH(E192,'App-Click Conversion by Rank'!$J$12:$J$31,0),MATCH(D192,'App-Click Conversion by Rank'!$K$11:$S$11,0))</f>
        <v>#N/A</v>
      </c>
      <c r="G192" s="3" t="e">
        <f t="shared" si="12"/>
        <v>#N/A</v>
      </c>
      <c r="H192" s="5" t="e">
        <f t="shared" si="13"/>
        <v>#N/A</v>
      </c>
      <c r="I192">
        <f t="shared" si="14"/>
        <v>0</v>
      </c>
    </row>
    <row r="193" spans="4:9" x14ac:dyDescent="0.45">
      <c r="D193" t="str">
        <f t="shared" si="10"/>
        <v>&lt;=150</v>
      </c>
      <c r="E193">
        <f t="shared" si="11"/>
        <v>0</v>
      </c>
      <c r="F193" s="1" t="e">
        <f>INDEX('App-Click Conversion by Rank'!$K$12:$S$31,MATCH(E193,'App-Click Conversion by Rank'!$J$12:$J$31,0),MATCH(D193,'App-Click Conversion by Rank'!$K$11:$S$11,0))</f>
        <v>#N/A</v>
      </c>
      <c r="G193" s="3" t="e">
        <f t="shared" si="12"/>
        <v>#N/A</v>
      </c>
      <c r="H193" s="5" t="e">
        <f t="shared" si="13"/>
        <v>#N/A</v>
      </c>
      <c r="I193">
        <f t="shared" si="14"/>
        <v>0</v>
      </c>
    </row>
    <row r="194" spans="4:9" x14ac:dyDescent="0.45">
      <c r="D194" t="str">
        <f t="shared" si="10"/>
        <v>&lt;=150</v>
      </c>
      <c r="E194">
        <f t="shared" si="11"/>
        <v>0</v>
      </c>
      <c r="F194" s="1" t="e">
        <f>INDEX('App-Click Conversion by Rank'!$K$12:$S$31,MATCH(E194,'App-Click Conversion by Rank'!$J$12:$J$31,0),MATCH(D194,'App-Click Conversion by Rank'!$K$11:$S$11,0))</f>
        <v>#N/A</v>
      </c>
      <c r="G194" s="3" t="e">
        <f t="shared" si="12"/>
        <v>#N/A</v>
      </c>
      <c r="H194" s="5" t="e">
        <f t="shared" si="13"/>
        <v>#N/A</v>
      </c>
      <c r="I194">
        <f t="shared" si="14"/>
        <v>0</v>
      </c>
    </row>
    <row r="195" spans="4:9" x14ac:dyDescent="0.45">
      <c r="D195" t="str">
        <f t="shared" ref="D195:D258" si="15">IF(B195&lt;=150,"&lt;=150",IF(B195&gt;500,"501+",B195))</f>
        <v>&lt;=150</v>
      </c>
      <c r="E195">
        <f t="shared" ref="E195:E258" si="16">IF(A195&gt;=20,"20+",A195)</f>
        <v>0</v>
      </c>
      <c r="F195" s="1" t="e">
        <f>INDEX('App-Click Conversion by Rank'!$K$12:$S$31,MATCH(E195,'App-Click Conversion by Rank'!$J$12:$J$31,0),MATCH(D195,'App-Click Conversion by Rank'!$K$11:$S$11,0))</f>
        <v>#N/A</v>
      </c>
      <c r="G195" s="3" t="e">
        <f t="shared" ref="G195:G258" si="17">C195*F195</f>
        <v>#N/A</v>
      </c>
      <c r="H195" s="5" t="e">
        <f t="shared" ref="H195:H258" si="18">G195*A195</f>
        <v>#N/A</v>
      </c>
      <c r="I195">
        <f t="shared" ref="I195:I258" si="19">C195*A195</f>
        <v>0</v>
      </c>
    </row>
    <row r="196" spans="4:9" x14ac:dyDescent="0.45">
      <c r="D196" t="str">
        <f t="shared" si="15"/>
        <v>&lt;=150</v>
      </c>
      <c r="E196">
        <f t="shared" si="16"/>
        <v>0</v>
      </c>
      <c r="F196" s="1" t="e">
        <f>INDEX('App-Click Conversion by Rank'!$K$12:$S$31,MATCH(E196,'App-Click Conversion by Rank'!$J$12:$J$31,0),MATCH(D196,'App-Click Conversion by Rank'!$K$11:$S$11,0))</f>
        <v>#N/A</v>
      </c>
      <c r="G196" s="3" t="e">
        <f t="shared" si="17"/>
        <v>#N/A</v>
      </c>
      <c r="H196" s="5" t="e">
        <f t="shared" si="18"/>
        <v>#N/A</v>
      </c>
      <c r="I196">
        <f t="shared" si="19"/>
        <v>0</v>
      </c>
    </row>
    <row r="197" spans="4:9" x14ac:dyDescent="0.45">
      <c r="D197" t="str">
        <f t="shared" si="15"/>
        <v>&lt;=150</v>
      </c>
      <c r="E197">
        <f t="shared" si="16"/>
        <v>0</v>
      </c>
      <c r="F197" s="1" t="e">
        <f>INDEX('App-Click Conversion by Rank'!$K$12:$S$31,MATCH(E197,'App-Click Conversion by Rank'!$J$12:$J$31,0),MATCH(D197,'App-Click Conversion by Rank'!$K$11:$S$11,0))</f>
        <v>#N/A</v>
      </c>
      <c r="G197" s="3" t="e">
        <f t="shared" si="17"/>
        <v>#N/A</v>
      </c>
      <c r="H197" s="5" t="e">
        <f t="shared" si="18"/>
        <v>#N/A</v>
      </c>
      <c r="I197">
        <f t="shared" si="19"/>
        <v>0</v>
      </c>
    </row>
    <row r="198" spans="4:9" x14ac:dyDescent="0.45">
      <c r="D198" t="str">
        <f t="shared" si="15"/>
        <v>&lt;=150</v>
      </c>
      <c r="E198">
        <f t="shared" si="16"/>
        <v>0</v>
      </c>
      <c r="F198" s="1" t="e">
        <f>INDEX('App-Click Conversion by Rank'!$K$12:$S$31,MATCH(E198,'App-Click Conversion by Rank'!$J$12:$J$31,0),MATCH(D198,'App-Click Conversion by Rank'!$K$11:$S$11,0))</f>
        <v>#N/A</v>
      </c>
      <c r="G198" s="3" t="e">
        <f t="shared" si="17"/>
        <v>#N/A</v>
      </c>
      <c r="H198" s="5" t="e">
        <f t="shared" si="18"/>
        <v>#N/A</v>
      </c>
      <c r="I198">
        <f t="shared" si="19"/>
        <v>0</v>
      </c>
    </row>
    <row r="199" spans="4:9" x14ac:dyDescent="0.45">
      <c r="D199" t="str">
        <f t="shared" si="15"/>
        <v>&lt;=150</v>
      </c>
      <c r="E199">
        <f t="shared" si="16"/>
        <v>0</v>
      </c>
      <c r="F199" s="1" t="e">
        <f>INDEX('App-Click Conversion by Rank'!$K$12:$S$31,MATCH(E199,'App-Click Conversion by Rank'!$J$12:$J$31,0),MATCH(D199,'App-Click Conversion by Rank'!$K$11:$S$11,0))</f>
        <v>#N/A</v>
      </c>
      <c r="G199" s="3" t="e">
        <f t="shared" si="17"/>
        <v>#N/A</v>
      </c>
      <c r="H199" s="5" t="e">
        <f t="shared" si="18"/>
        <v>#N/A</v>
      </c>
      <c r="I199">
        <f t="shared" si="19"/>
        <v>0</v>
      </c>
    </row>
    <row r="200" spans="4:9" x14ac:dyDescent="0.45">
      <c r="D200" t="str">
        <f t="shared" si="15"/>
        <v>&lt;=150</v>
      </c>
      <c r="E200">
        <f t="shared" si="16"/>
        <v>0</v>
      </c>
      <c r="F200" s="1" t="e">
        <f>INDEX('App-Click Conversion by Rank'!$K$12:$S$31,MATCH(E200,'App-Click Conversion by Rank'!$J$12:$J$31,0),MATCH(D200,'App-Click Conversion by Rank'!$K$11:$S$11,0))</f>
        <v>#N/A</v>
      </c>
      <c r="G200" s="3" t="e">
        <f t="shared" si="17"/>
        <v>#N/A</v>
      </c>
      <c r="H200" s="5" t="e">
        <f t="shared" si="18"/>
        <v>#N/A</v>
      </c>
      <c r="I200">
        <f t="shared" si="19"/>
        <v>0</v>
      </c>
    </row>
    <row r="201" spans="4:9" x14ac:dyDescent="0.45">
      <c r="D201" t="str">
        <f t="shared" si="15"/>
        <v>&lt;=150</v>
      </c>
      <c r="E201">
        <f t="shared" si="16"/>
        <v>0</v>
      </c>
      <c r="F201" s="1" t="e">
        <f>INDEX('App-Click Conversion by Rank'!$K$12:$S$31,MATCH(E201,'App-Click Conversion by Rank'!$J$12:$J$31,0),MATCH(D201,'App-Click Conversion by Rank'!$K$11:$S$11,0))</f>
        <v>#N/A</v>
      </c>
      <c r="G201" s="3" t="e">
        <f t="shared" si="17"/>
        <v>#N/A</v>
      </c>
      <c r="H201" s="5" t="e">
        <f t="shared" si="18"/>
        <v>#N/A</v>
      </c>
      <c r="I201">
        <f t="shared" si="19"/>
        <v>0</v>
      </c>
    </row>
    <row r="202" spans="4:9" x14ac:dyDescent="0.45">
      <c r="D202" t="str">
        <f t="shared" si="15"/>
        <v>&lt;=150</v>
      </c>
      <c r="E202">
        <f t="shared" si="16"/>
        <v>0</v>
      </c>
      <c r="F202" s="1" t="e">
        <f>INDEX('App-Click Conversion by Rank'!$K$12:$S$31,MATCH(E202,'App-Click Conversion by Rank'!$J$12:$J$31,0),MATCH(D202,'App-Click Conversion by Rank'!$K$11:$S$11,0))</f>
        <v>#N/A</v>
      </c>
      <c r="G202" s="3" t="e">
        <f t="shared" si="17"/>
        <v>#N/A</v>
      </c>
      <c r="H202" s="5" t="e">
        <f t="shared" si="18"/>
        <v>#N/A</v>
      </c>
      <c r="I202">
        <f t="shared" si="19"/>
        <v>0</v>
      </c>
    </row>
    <row r="203" spans="4:9" x14ac:dyDescent="0.45">
      <c r="D203" t="str">
        <f t="shared" si="15"/>
        <v>&lt;=150</v>
      </c>
      <c r="E203">
        <f t="shared" si="16"/>
        <v>0</v>
      </c>
      <c r="F203" s="1" t="e">
        <f>INDEX('App-Click Conversion by Rank'!$K$12:$S$31,MATCH(E203,'App-Click Conversion by Rank'!$J$12:$J$31,0),MATCH(D203,'App-Click Conversion by Rank'!$K$11:$S$11,0))</f>
        <v>#N/A</v>
      </c>
      <c r="G203" s="3" t="e">
        <f t="shared" si="17"/>
        <v>#N/A</v>
      </c>
      <c r="H203" s="5" t="e">
        <f t="shared" si="18"/>
        <v>#N/A</v>
      </c>
      <c r="I203">
        <f t="shared" si="19"/>
        <v>0</v>
      </c>
    </row>
    <row r="204" spans="4:9" x14ac:dyDescent="0.45">
      <c r="D204" t="str">
        <f t="shared" si="15"/>
        <v>&lt;=150</v>
      </c>
      <c r="E204">
        <f t="shared" si="16"/>
        <v>0</v>
      </c>
      <c r="F204" s="1" t="e">
        <f>INDEX('App-Click Conversion by Rank'!$K$12:$S$31,MATCH(E204,'App-Click Conversion by Rank'!$J$12:$J$31,0),MATCH(D204,'App-Click Conversion by Rank'!$K$11:$S$11,0))</f>
        <v>#N/A</v>
      </c>
      <c r="G204" s="3" t="e">
        <f t="shared" si="17"/>
        <v>#N/A</v>
      </c>
      <c r="H204" s="5" t="e">
        <f t="shared" si="18"/>
        <v>#N/A</v>
      </c>
      <c r="I204">
        <f t="shared" si="19"/>
        <v>0</v>
      </c>
    </row>
    <row r="205" spans="4:9" x14ac:dyDescent="0.45">
      <c r="D205" t="str">
        <f t="shared" si="15"/>
        <v>&lt;=150</v>
      </c>
      <c r="E205">
        <f t="shared" si="16"/>
        <v>0</v>
      </c>
      <c r="F205" s="1" t="e">
        <f>INDEX('App-Click Conversion by Rank'!$K$12:$S$31,MATCH(E205,'App-Click Conversion by Rank'!$J$12:$J$31,0),MATCH(D205,'App-Click Conversion by Rank'!$K$11:$S$11,0))</f>
        <v>#N/A</v>
      </c>
      <c r="G205" s="3" t="e">
        <f t="shared" si="17"/>
        <v>#N/A</v>
      </c>
      <c r="H205" s="5" t="e">
        <f t="shared" si="18"/>
        <v>#N/A</v>
      </c>
      <c r="I205">
        <f t="shared" si="19"/>
        <v>0</v>
      </c>
    </row>
    <row r="206" spans="4:9" x14ac:dyDescent="0.45">
      <c r="D206" t="str">
        <f t="shared" si="15"/>
        <v>&lt;=150</v>
      </c>
      <c r="E206">
        <f t="shared" si="16"/>
        <v>0</v>
      </c>
      <c r="F206" s="1" t="e">
        <f>INDEX('App-Click Conversion by Rank'!$K$12:$S$31,MATCH(E206,'App-Click Conversion by Rank'!$J$12:$J$31,0),MATCH(D206,'App-Click Conversion by Rank'!$K$11:$S$11,0))</f>
        <v>#N/A</v>
      </c>
      <c r="G206" s="3" t="e">
        <f t="shared" si="17"/>
        <v>#N/A</v>
      </c>
      <c r="H206" s="5" t="e">
        <f t="shared" si="18"/>
        <v>#N/A</v>
      </c>
      <c r="I206">
        <f t="shared" si="19"/>
        <v>0</v>
      </c>
    </row>
    <row r="207" spans="4:9" x14ac:dyDescent="0.45">
      <c r="D207" t="str">
        <f t="shared" si="15"/>
        <v>&lt;=150</v>
      </c>
      <c r="E207">
        <f t="shared" si="16"/>
        <v>0</v>
      </c>
      <c r="F207" s="1" t="e">
        <f>INDEX('App-Click Conversion by Rank'!$K$12:$S$31,MATCH(E207,'App-Click Conversion by Rank'!$J$12:$J$31,0),MATCH(D207,'App-Click Conversion by Rank'!$K$11:$S$11,0))</f>
        <v>#N/A</v>
      </c>
      <c r="G207" s="3" t="e">
        <f t="shared" si="17"/>
        <v>#N/A</v>
      </c>
      <c r="H207" s="5" t="e">
        <f t="shared" si="18"/>
        <v>#N/A</v>
      </c>
      <c r="I207">
        <f t="shared" si="19"/>
        <v>0</v>
      </c>
    </row>
    <row r="208" spans="4:9" x14ac:dyDescent="0.45">
      <c r="D208" t="str">
        <f t="shared" si="15"/>
        <v>&lt;=150</v>
      </c>
      <c r="E208">
        <f t="shared" si="16"/>
        <v>0</v>
      </c>
      <c r="F208" s="1" t="e">
        <f>INDEX('App-Click Conversion by Rank'!$K$12:$S$31,MATCH(E208,'App-Click Conversion by Rank'!$J$12:$J$31,0),MATCH(D208,'App-Click Conversion by Rank'!$K$11:$S$11,0))</f>
        <v>#N/A</v>
      </c>
      <c r="G208" s="3" t="e">
        <f t="shared" si="17"/>
        <v>#N/A</v>
      </c>
      <c r="H208" s="5" t="e">
        <f t="shared" si="18"/>
        <v>#N/A</v>
      </c>
      <c r="I208">
        <f t="shared" si="19"/>
        <v>0</v>
      </c>
    </row>
    <row r="209" spans="4:9" x14ac:dyDescent="0.45">
      <c r="D209" t="str">
        <f t="shared" si="15"/>
        <v>&lt;=150</v>
      </c>
      <c r="E209">
        <f t="shared" si="16"/>
        <v>0</v>
      </c>
      <c r="F209" s="1" t="e">
        <f>INDEX('App-Click Conversion by Rank'!$K$12:$S$31,MATCH(E209,'App-Click Conversion by Rank'!$J$12:$J$31,0),MATCH(D209,'App-Click Conversion by Rank'!$K$11:$S$11,0))</f>
        <v>#N/A</v>
      </c>
      <c r="G209" s="3" t="e">
        <f t="shared" si="17"/>
        <v>#N/A</v>
      </c>
      <c r="H209" s="5" t="e">
        <f t="shared" si="18"/>
        <v>#N/A</v>
      </c>
      <c r="I209">
        <f t="shared" si="19"/>
        <v>0</v>
      </c>
    </row>
    <row r="210" spans="4:9" x14ac:dyDescent="0.45">
      <c r="D210" t="str">
        <f t="shared" si="15"/>
        <v>&lt;=150</v>
      </c>
      <c r="E210">
        <f t="shared" si="16"/>
        <v>0</v>
      </c>
      <c r="F210" s="1" t="e">
        <f>INDEX('App-Click Conversion by Rank'!$K$12:$S$31,MATCH(E210,'App-Click Conversion by Rank'!$J$12:$J$31,0),MATCH(D210,'App-Click Conversion by Rank'!$K$11:$S$11,0))</f>
        <v>#N/A</v>
      </c>
      <c r="G210" s="3" t="e">
        <f t="shared" si="17"/>
        <v>#N/A</v>
      </c>
      <c r="H210" s="5" t="e">
        <f t="shared" si="18"/>
        <v>#N/A</v>
      </c>
      <c r="I210">
        <f t="shared" si="19"/>
        <v>0</v>
      </c>
    </row>
    <row r="211" spans="4:9" x14ac:dyDescent="0.45">
      <c r="D211" t="str">
        <f t="shared" si="15"/>
        <v>&lt;=150</v>
      </c>
      <c r="E211">
        <f t="shared" si="16"/>
        <v>0</v>
      </c>
      <c r="F211" s="1" t="e">
        <f>INDEX('App-Click Conversion by Rank'!$K$12:$S$31,MATCH(E211,'App-Click Conversion by Rank'!$J$12:$J$31,0),MATCH(D211,'App-Click Conversion by Rank'!$K$11:$S$11,0))</f>
        <v>#N/A</v>
      </c>
      <c r="G211" s="3" t="e">
        <f t="shared" si="17"/>
        <v>#N/A</v>
      </c>
      <c r="H211" s="5" t="e">
        <f t="shared" si="18"/>
        <v>#N/A</v>
      </c>
      <c r="I211">
        <f t="shared" si="19"/>
        <v>0</v>
      </c>
    </row>
    <row r="212" spans="4:9" x14ac:dyDescent="0.45">
      <c r="D212" t="str">
        <f t="shared" si="15"/>
        <v>&lt;=150</v>
      </c>
      <c r="E212">
        <f t="shared" si="16"/>
        <v>0</v>
      </c>
      <c r="F212" s="1" t="e">
        <f>INDEX('App-Click Conversion by Rank'!$K$12:$S$31,MATCH(E212,'App-Click Conversion by Rank'!$J$12:$J$31,0),MATCH(D212,'App-Click Conversion by Rank'!$K$11:$S$11,0))</f>
        <v>#N/A</v>
      </c>
      <c r="G212" s="3" t="e">
        <f t="shared" si="17"/>
        <v>#N/A</v>
      </c>
      <c r="H212" s="5" t="e">
        <f t="shared" si="18"/>
        <v>#N/A</v>
      </c>
      <c r="I212">
        <f t="shared" si="19"/>
        <v>0</v>
      </c>
    </row>
    <row r="213" spans="4:9" x14ac:dyDescent="0.45">
      <c r="D213" t="str">
        <f t="shared" si="15"/>
        <v>&lt;=150</v>
      </c>
      <c r="E213">
        <f t="shared" si="16"/>
        <v>0</v>
      </c>
      <c r="F213" s="1" t="e">
        <f>INDEX('App-Click Conversion by Rank'!$K$12:$S$31,MATCH(E213,'App-Click Conversion by Rank'!$J$12:$J$31,0),MATCH(D213,'App-Click Conversion by Rank'!$K$11:$S$11,0))</f>
        <v>#N/A</v>
      </c>
      <c r="G213" s="3" t="e">
        <f t="shared" si="17"/>
        <v>#N/A</v>
      </c>
      <c r="H213" s="5" t="e">
        <f t="shared" si="18"/>
        <v>#N/A</v>
      </c>
      <c r="I213">
        <f t="shared" si="19"/>
        <v>0</v>
      </c>
    </row>
    <row r="214" spans="4:9" x14ac:dyDescent="0.45">
      <c r="D214" t="str">
        <f t="shared" si="15"/>
        <v>&lt;=150</v>
      </c>
      <c r="E214">
        <f t="shared" si="16"/>
        <v>0</v>
      </c>
      <c r="F214" s="1" t="e">
        <f>INDEX('App-Click Conversion by Rank'!$K$12:$S$31,MATCH(E214,'App-Click Conversion by Rank'!$J$12:$J$31,0),MATCH(D214,'App-Click Conversion by Rank'!$K$11:$S$11,0))</f>
        <v>#N/A</v>
      </c>
      <c r="G214" s="3" t="e">
        <f t="shared" si="17"/>
        <v>#N/A</v>
      </c>
      <c r="H214" s="5" t="e">
        <f t="shared" si="18"/>
        <v>#N/A</v>
      </c>
      <c r="I214">
        <f t="shared" si="19"/>
        <v>0</v>
      </c>
    </row>
    <row r="215" spans="4:9" x14ac:dyDescent="0.45">
      <c r="D215" t="str">
        <f t="shared" si="15"/>
        <v>&lt;=150</v>
      </c>
      <c r="E215">
        <f t="shared" si="16"/>
        <v>0</v>
      </c>
      <c r="F215" s="1" t="e">
        <f>INDEX('App-Click Conversion by Rank'!$K$12:$S$31,MATCH(E215,'App-Click Conversion by Rank'!$J$12:$J$31,0),MATCH(D215,'App-Click Conversion by Rank'!$K$11:$S$11,0))</f>
        <v>#N/A</v>
      </c>
      <c r="G215" s="3" t="e">
        <f t="shared" si="17"/>
        <v>#N/A</v>
      </c>
      <c r="H215" s="5" t="e">
        <f t="shared" si="18"/>
        <v>#N/A</v>
      </c>
      <c r="I215">
        <f t="shared" si="19"/>
        <v>0</v>
      </c>
    </row>
    <row r="216" spans="4:9" x14ac:dyDescent="0.45">
      <c r="D216" t="str">
        <f t="shared" si="15"/>
        <v>&lt;=150</v>
      </c>
      <c r="E216">
        <f t="shared" si="16"/>
        <v>0</v>
      </c>
      <c r="F216" s="1" t="e">
        <f>INDEX('App-Click Conversion by Rank'!$K$12:$S$31,MATCH(E216,'App-Click Conversion by Rank'!$J$12:$J$31,0),MATCH(D216,'App-Click Conversion by Rank'!$K$11:$S$11,0))</f>
        <v>#N/A</v>
      </c>
      <c r="G216" s="3" t="e">
        <f t="shared" si="17"/>
        <v>#N/A</v>
      </c>
      <c r="H216" s="5" t="e">
        <f t="shared" si="18"/>
        <v>#N/A</v>
      </c>
      <c r="I216">
        <f t="shared" si="19"/>
        <v>0</v>
      </c>
    </row>
    <row r="217" spans="4:9" x14ac:dyDescent="0.45">
      <c r="D217" t="str">
        <f t="shared" si="15"/>
        <v>&lt;=150</v>
      </c>
      <c r="E217">
        <f t="shared" si="16"/>
        <v>0</v>
      </c>
      <c r="F217" s="1" t="e">
        <f>INDEX('App-Click Conversion by Rank'!$K$12:$S$31,MATCH(E217,'App-Click Conversion by Rank'!$J$12:$J$31,0),MATCH(D217,'App-Click Conversion by Rank'!$K$11:$S$11,0))</f>
        <v>#N/A</v>
      </c>
      <c r="G217" s="3" t="e">
        <f t="shared" si="17"/>
        <v>#N/A</v>
      </c>
      <c r="H217" s="5" t="e">
        <f t="shared" si="18"/>
        <v>#N/A</v>
      </c>
      <c r="I217">
        <f t="shared" si="19"/>
        <v>0</v>
      </c>
    </row>
    <row r="218" spans="4:9" x14ac:dyDescent="0.45">
      <c r="D218" t="str">
        <f t="shared" si="15"/>
        <v>&lt;=150</v>
      </c>
      <c r="E218">
        <f t="shared" si="16"/>
        <v>0</v>
      </c>
      <c r="F218" s="1" t="e">
        <f>INDEX('App-Click Conversion by Rank'!$K$12:$S$31,MATCH(E218,'App-Click Conversion by Rank'!$J$12:$J$31,0),MATCH(D218,'App-Click Conversion by Rank'!$K$11:$S$11,0))</f>
        <v>#N/A</v>
      </c>
      <c r="G218" s="3" t="e">
        <f t="shared" si="17"/>
        <v>#N/A</v>
      </c>
      <c r="H218" s="5" t="e">
        <f t="shared" si="18"/>
        <v>#N/A</v>
      </c>
      <c r="I218">
        <f t="shared" si="19"/>
        <v>0</v>
      </c>
    </row>
    <row r="219" spans="4:9" x14ac:dyDescent="0.45">
      <c r="D219" t="str">
        <f t="shared" si="15"/>
        <v>&lt;=150</v>
      </c>
      <c r="E219">
        <f t="shared" si="16"/>
        <v>0</v>
      </c>
      <c r="F219" s="1" t="e">
        <f>INDEX('App-Click Conversion by Rank'!$K$12:$S$31,MATCH(E219,'App-Click Conversion by Rank'!$J$12:$J$31,0),MATCH(D219,'App-Click Conversion by Rank'!$K$11:$S$11,0))</f>
        <v>#N/A</v>
      </c>
      <c r="G219" s="3" t="e">
        <f t="shared" si="17"/>
        <v>#N/A</v>
      </c>
      <c r="H219" s="5" t="e">
        <f t="shared" si="18"/>
        <v>#N/A</v>
      </c>
      <c r="I219">
        <f t="shared" si="19"/>
        <v>0</v>
      </c>
    </row>
    <row r="220" spans="4:9" x14ac:dyDescent="0.45">
      <c r="D220" t="str">
        <f t="shared" si="15"/>
        <v>&lt;=150</v>
      </c>
      <c r="E220">
        <f t="shared" si="16"/>
        <v>0</v>
      </c>
      <c r="F220" s="1" t="e">
        <f>INDEX('App-Click Conversion by Rank'!$K$12:$S$31,MATCH(E220,'App-Click Conversion by Rank'!$J$12:$J$31,0),MATCH(D220,'App-Click Conversion by Rank'!$K$11:$S$11,0))</f>
        <v>#N/A</v>
      </c>
      <c r="G220" s="3" t="e">
        <f t="shared" si="17"/>
        <v>#N/A</v>
      </c>
      <c r="H220" s="5" t="e">
        <f t="shared" si="18"/>
        <v>#N/A</v>
      </c>
      <c r="I220">
        <f t="shared" si="19"/>
        <v>0</v>
      </c>
    </row>
    <row r="221" spans="4:9" x14ac:dyDescent="0.45">
      <c r="D221" t="str">
        <f t="shared" si="15"/>
        <v>&lt;=150</v>
      </c>
      <c r="E221">
        <f t="shared" si="16"/>
        <v>0</v>
      </c>
      <c r="F221" s="1" t="e">
        <f>INDEX('App-Click Conversion by Rank'!$K$12:$S$31,MATCH(E221,'App-Click Conversion by Rank'!$J$12:$J$31,0),MATCH(D221,'App-Click Conversion by Rank'!$K$11:$S$11,0))</f>
        <v>#N/A</v>
      </c>
      <c r="G221" s="3" t="e">
        <f t="shared" si="17"/>
        <v>#N/A</v>
      </c>
      <c r="H221" s="5" t="e">
        <f t="shared" si="18"/>
        <v>#N/A</v>
      </c>
      <c r="I221">
        <f t="shared" si="19"/>
        <v>0</v>
      </c>
    </row>
    <row r="222" spans="4:9" x14ac:dyDescent="0.45">
      <c r="D222" t="str">
        <f t="shared" si="15"/>
        <v>&lt;=150</v>
      </c>
      <c r="E222">
        <f t="shared" si="16"/>
        <v>0</v>
      </c>
      <c r="F222" s="1" t="e">
        <f>INDEX('App-Click Conversion by Rank'!$K$12:$S$31,MATCH(E222,'App-Click Conversion by Rank'!$J$12:$J$31,0),MATCH(D222,'App-Click Conversion by Rank'!$K$11:$S$11,0))</f>
        <v>#N/A</v>
      </c>
      <c r="G222" s="3" t="e">
        <f t="shared" si="17"/>
        <v>#N/A</v>
      </c>
      <c r="H222" s="5" t="e">
        <f t="shared" si="18"/>
        <v>#N/A</v>
      </c>
      <c r="I222">
        <f t="shared" si="19"/>
        <v>0</v>
      </c>
    </row>
    <row r="223" spans="4:9" x14ac:dyDescent="0.45">
      <c r="D223" t="str">
        <f t="shared" si="15"/>
        <v>&lt;=150</v>
      </c>
      <c r="E223">
        <f t="shared" si="16"/>
        <v>0</v>
      </c>
      <c r="F223" s="1" t="e">
        <f>INDEX('App-Click Conversion by Rank'!$K$12:$S$31,MATCH(E223,'App-Click Conversion by Rank'!$J$12:$J$31,0),MATCH(D223,'App-Click Conversion by Rank'!$K$11:$S$11,0))</f>
        <v>#N/A</v>
      </c>
      <c r="G223" s="3" t="e">
        <f t="shared" si="17"/>
        <v>#N/A</v>
      </c>
      <c r="H223" s="5" t="e">
        <f t="shared" si="18"/>
        <v>#N/A</v>
      </c>
      <c r="I223">
        <f t="shared" si="19"/>
        <v>0</v>
      </c>
    </row>
    <row r="224" spans="4:9" x14ac:dyDescent="0.45">
      <c r="D224" t="str">
        <f t="shared" si="15"/>
        <v>&lt;=150</v>
      </c>
      <c r="E224">
        <f t="shared" si="16"/>
        <v>0</v>
      </c>
      <c r="F224" s="1" t="e">
        <f>INDEX('App-Click Conversion by Rank'!$K$12:$S$31,MATCH(E224,'App-Click Conversion by Rank'!$J$12:$J$31,0),MATCH(D224,'App-Click Conversion by Rank'!$K$11:$S$11,0))</f>
        <v>#N/A</v>
      </c>
      <c r="G224" s="3" t="e">
        <f t="shared" si="17"/>
        <v>#N/A</v>
      </c>
      <c r="H224" s="5" t="e">
        <f t="shared" si="18"/>
        <v>#N/A</v>
      </c>
      <c r="I224">
        <f t="shared" si="19"/>
        <v>0</v>
      </c>
    </row>
    <row r="225" spans="4:9" x14ac:dyDescent="0.45">
      <c r="D225" t="str">
        <f t="shared" si="15"/>
        <v>&lt;=150</v>
      </c>
      <c r="E225">
        <f t="shared" si="16"/>
        <v>0</v>
      </c>
      <c r="F225" s="1" t="e">
        <f>INDEX('App-Click Conversion by Rank'!$K$12:$S$31,MATCH(E225,'App-Click Conversion by Rank'!$J$12:$J$31,0),MATCH(D225,'App-Click Conversion by Rank'!$K$11:$S$11,0))</f>
        <v>#N/A</v>
      </c>
      <c r="G225" s="3" t="e">
        <f t="shared" si="17"/>
        <v>#N/A</v>
      </c>
      <c r="H225" s="5" t="e">
        <f t="shared" si="18"/>
        <v>#N/A</v>
      </c>
      <c r="I225">
        <f t="shared" si="19"/>
        <v>0</v>
      </c>
    </row>
    <row r="226" spans="4:9" x14ac:dyDescent="0.45">
      <c r="D226" t="str">
        <f t="shared" si="15"/>
        <v>&lt;=150</v>
      </c>
      <c r="E226">
        <f t="shared" si="16"/>
        <v>0</v>
      </c>
      <c r="F226" s="1" t="e">
        <f>INDEX('App-Click Conversion by Rank'!$K$12:$S$31,MATCH(E226,'App-Click Conversion by Rank'!$J$12:$J$31,0),MATCH(D226,'App-Click Conversion by Rank'!$K$11:$S$11,0))</f>
        <v>#N/A</v>
      </c>
      <c r="G226" s="3" t="e">
        <f t="shared" si="17"/>
        <v>#N/A</v>
      </c>
      <c r="H226" s="5" t="e">
        <f t="shared" si="18"/>
        <v>#N/A</v>
      </c>
      <c r="I226">
        <f t="shared" si="19"/>
        <v>0</v>
      </c>
    </row>
    <row r="227" spans="4:9" x14ac:dyDescent="0.45">
      <c r="D227" t="str">
        <f t="shared" si="15"/>
        <v>&lt;=150</v>
      </c>
      <c r="E227">
        <f t="shared" si="16"/>
        <v>0</v>
      </c>
      <c r="F227" s="1" t="e">
        <f>INDEX('App-Click Conversion by Rank'!$K$12:$S$31,MATCH(E227,'App-Click Conversion by Rank'!$J$12:$J$31,0),MATCH(D227,'App-Click Conversion by Rank'!$K$11:$S$11,0))</f>
        <v>#N/A</v>
      </c>
      <c r="G227" s="3" t="e">
        <f t="shared" si="17"/>
        <v>#N/A</v>
      </c>
      <c r="H227" s="5" t="e">
        <f t="shared" si="18"/>
        <v>#N/A</v>
      </c>
      <c r="I227">
        <f t="shared" si="19"/>
        <v>0</v>
      </c>
    </row>
    <row r="228" spans="4:9" x14ac:dyDescent="0.45">
      <c r="D228" t="str">
        <f t="shared" si="15"/>
        <v>&lt;=150</v>
      </c>
      <c r="E228">
        <f t="shared" si="16"/>
        <v>0</v>
      </c>
      <c r="F228" s="1" t="e">
        <f>INDEX('App-Click Conversion by Rank'!$K$12:$S$31,MATCH(E228,'App-Click Conversion by Rank'!$J$12:$J$31,0),MATCH(D228,'App-Click Conversion by Rank'!$K$11:$S$11,0))</f>
        <v>#N/A</v>
      </c>
      <c r="G228" s="3" t="e">
        <f t="shared" si="17"/>
        <v>#N/A</v>
      </c>
      <c r="H228" s="5" t="e">
        <f t="shared" si="18"/>
        <v>#N/A</v>
      </c>
      <c r="I228">
        <f t="shared" si="19"/>
        <v>0</v>
      </c>
    </row>
    <row r="229" spans="4:9" x14ac:dyDescent="0.45">
      <c r="D229" t="str">
        <f t="shared" si="15"/>
        <v>&lt;=150</v>
      </c>
      <c r="E229">
        <f t="shared" si="16"/>
        <v>0</v>
      </c>
      <c r="F229" s="1" t="e">
        <f>INDEX('App-Click Conversion by Rank'!$K$12:$S$31,MATCH(E229,'App-Click Conversion by Rank'!$J$12:$J$31,0),MATCH(D229,'App-Click Conversion by Rank'!$K$11:$S$11,0))</f>
        <v>#N/A</v>
      </c>
      <c r="G229" s="3" t="e">
        <f t="shared" si="17"/>
        <v>#N/A</v>
      </c>
      <c r="H229" s="5" t="e">
        <f t="shared" si="18"/>
        <v>#N/A</v>
      </c>
      <c r="I229">
        <f t="shared" si="19"/>
        <v>0</v>
      </c>
    </row>
    <row r="230" spans="4:9" x14ac:dyDescent="0.45">
      <c r="D230" t="str">
        <f t="shared" si="15"/>
        <v>&lt;=150</v>
      </c>
      <c r="E230">
        <f t="shared" si="16"/>
        <v>0</v>
      </c>
      <c r="F230" s="1" t="e">
        <f>INDEX('App-Click Conversion by Rank'!$K$12:$S$31,MATCH(E230,'App-Click Conversion by Rank'!$J$12:$J$31,0),MATCH(D230,'App-Click Conversion by Rank'!$K$11:$S$11,0))</f>
        <v>#N/A</v>
      </c>
      <c r="G230" s="3" t="e">
        <f t="shared" si="17"/>
        <v>#N/A</v>
      </c>
      <c r="H230" s="5" t="e">
        <f t="shared" si="18"/>
        <v>#N/A</v>
      </c>
      <c r="I230">
        <f t="shared" si="19"/>
        <v>0</v>
      </c>
    </row>
    <row r="231" spans="4:9" x14ac:dyDescent="0.45">
      <c r="D231" t="str">
        <f t="shared" si="15"/>
        <v>&lt;=150</v>
      </c>
      <c r="E231">
        <f t="shared" si="16"/>
        <v>0</v>
      </c>
      <c r="F231" s="1" t="e">
        <f>INDEX('App-Click Conversion by Rank'!$K$12:$S$31,MATCH(E231,'App-Click Conversion by Rank'!$J$12:$J$31,0),MATCH(D231,'App-Click Conversion by Rank'!$K$11:$S$11,0))</f>
        <v>#N/A</v>
      </c>
      <c r="G231" s="3" t="e">
        <f t="shared" si="17"/>
        <v>#N/A</v>
      </c>
      <c r="H231" s="5" t="e">
        <f t="shared" si="18"/>
        <v>#N/A</v>
      </c>
      <c r="I231">
        <f t="shared" si="19"/>
        <v>0</v>
      </c>
    </row>
    <row r="232" spans="4:9" x14ac:dyDescent="0.45">
      <c r="D232" t="str">
        <f t="shared" si="15"/>
        <v>&lt;=150</v>
      </c>
      <c r="E232">
        <f t="shared" si="16"/>
        <v>0</v>
      </c>
      <c r="F232" s="1" t="e">
        <f>INDEX('App-Click Conversion by Rank'!$K$12:$S$31,MATCH(E232,'App-Click Conversion by Rank'!$J$12:$J$31,0),MATCH(D232,'App-Click Conversion by Rank'!$K$11:$S$11,0))</f>
        <v>#N/A</v>
      </c>
      <c r="G232" s="3" t="e">
        <f t="shared" si="17"/>
        <v>#N/A</v>
      </c>
      <c r="H232" s="5" t="e">
        <f t="shared" si="18"/>
        <v>#N/A</v>
      </c>
      <c r="I232">
        <f t="shared" si="19"/>
        <v>0</v>
      </c>
    </row>
    <row r="233" spans="4:9" x14ac:dyDescent="0.45">
      <c r="D233" t="str">
        <f t="shared" si="15"/>
        <v>&lt;=150</v>
      </c>
      <c r="E233">
        <f t="shared" si="16"/>
        <v>0</v>
      </c>
      <c r="F233" s="1" t="e">
        <f>INDEX('App-Click Conversion by Rank'!$K$12:$S$31,MATCH(E233,'App-Click Conversion by Rank'!$J$12:$J$31,0),MATCH(D233,'App-Click Conversion by Rank'!$K$11:$S$11,0))</f>
        <v>#N/A</v>
      </c>
      <c r="G233" s="3" t="e">
        <f t="shared" si="17"/>
        <v>#N/A</v>
      </c>
      <c r="H233" s="5" t="e">
        <f t="shared" si="18"/>
        <v>#N/A</v>
      </c>
      <c r="I233">
        <f t="shared" si="19"/>
        <v>0</v>
      </c>
    </row>
    <row r="234" spans="4:9" x14ac:dyDescent="0.45">
      <c r="D234" t="str">
        <f t="shared" si="15"/>
        <v>&lt;=150</v>
      </c>
      <c r="E234">
        <f t="shared" si="16"/>
        <v>0</v>
      </c>
      <c r="F234" s="1" t="e">
        <f>INDEX('App-Click Conversion by Rank'!$K$12:$S$31,MATCH(E234,'App-Click Conversion by Rank'!$J$12:$J$31,0),MATCH(D234,'App-Click Conversion by Rank'!$K$11:$S$11,0))</f>
        <v>#N/A</v>
      </c>
      <c r="G234" s="3" t="e">
        <f t="shared" si="17"/>
        <v>#N/A</v>
      </c>
      <c r="H234" s="5" t="e">
        <f t="shared" si="18"/>
        <v>#N/A</v>
      </c>
      <c r="I234">
        <f t="shared" si="19"/>
        <v>0</v>
      </c>
    </row>
    <row r="235" spans="4:9" x14ac:dyDescent="0.45">
      <c r="D235" t="str">
        <f t="shared" si="15"/>
        <v>&lt;=150</v>
      </c>
      <c r="E235">
        <f t="shared" si="16"/>
        <v>0</v>
      </c>
      <c r="F235" s="1" t="e">
        <f>INDEX('App-Click Conversion by Rank'!$K$12:$S$31,MATCH(E235,'App-Click Conversion by Rank'!$J$12:$J$31,0),MATCH(D235,'App-Click Conversion by Rank'!$K$11:$S$11,0))</f>
        <v>#N/A</v>
      </c>
      <c r="G235" s="3" t="e">
        <f t="shared" si="17"/>
        <v>#N/A</v>
      </c>
      <c r="H235" s="5" t="e">
        <f t="shared" si="18"/>
        <v>#N/A</v>
      </c>
      <c r="I235">
        <f t="shared" si="19"/>
        <v>0</v>
      </c>
    </row>
    <row r="236" spans="4:9" x14ac:dyDescent="0.45">
      <c r="D236" t="str">
        <f t="shared" si="15"/>
        <v>&lt;=150</v>
      </c>
      <c r="E236">
        <f t="shared" si="16"/>
        <v>0</v>
      </c>
      <c r="F236" s="1" t="e">
        <f>INDEX('App-Click Conversion by Rank'!$K$12:$S$31,MATCH(E236,'App-Click Conversion by Rank'!$J$12:$J$31,0),MATCH(D236,'App-Click Conversion by Rank'!$K$11:$S$11,0))</f>
        <v>#N/A</v>
      </c>
      <c r="G236" s="3" t="e">
        <f t="shared" si="17"/>
        <v>#N/A</v>
      </c>
      <c r="H236" s="5" t="e">
        <f t="shared" si="18"/>
        <v>#N/A</v>
      </c>
      <c r="I236">
        <f t="shared" si="19"/>
        <v>0</v>
      </c>
    </row>
    <row r="237" spans="4:9" x14ac:dyDescent="0.45">
      <c r="D237" t="str">
        <f t="shared" si="15"/>
        <v>&lt;=150</v>
      </c>
      <c r="E237">
        <f t="shared" si="16"/>
        <v>0</v>
      </c>
      <c r="F237" s="1" t="e">
        <f>INDEX('App-Click Conversion by Rank'!$K$12:$S$31,MATCH(E237,'App-Click Conversion by Rank'!$J$12:$J$31,0),MATCH(D237,'App-Click Conversion by Rank'!$K$11:$S$11,0))</f>
        <v>#N/A</v>
      </c>
      <c r="G237" s="3" t="e">
        <f t="shared" si="17"/>
        <v>#N/A</v>
      </c>
      <c r="H237" s="5" t="e">
        <f t="shared" si="18"/>
        <v>#N/A</v>
      </c>
      <c r="I237">
        <f t="shared" si="19"/>
        <v>0</v>
      </c>
    </row>
    <row r="238" spans="4:9" x14ac:dyDescent="0.45">
      <c r="D238" t="str">
        <f t="shared" si="15"/>
        <v>&lt;=150</v>
      </c>
      <c r="E238">
        <f t="shared" si="16"/>
        <v>0</v>
      </c>
      <c r="F238" s="1" t="e">
        <f>INDEX('App-Click Conversion by Rank'!$K$12:$S$31,MATCH(E238,'App-Click Conversion by Rank'!$J$12:$J$31,0),MATCH(D238,'App-Click Conversion by Rank'!$K$11:$S$11,0))</f>
        <v>#N/A</v>
      </c>
      <c r="G238" s="3" t="e">
        <f t="shared" si="17"/>
        <v>#N/A</v>
      </c>
      <c r="H238" s="5" t="e">
        <f t="shared" si="18"/>
        <v>#N/A</v>
      </c>
      <c r="I238">
        <f t="shared" si="19"/>
        <v>0</v>
      </c>
    </row>
    <row r="239" spans="4:9" x14ac:dyDescent="0.45">
      <c r="D239" t="str">
        <f t="shared" si="15"/>
        <v>&lt;=150</v>
      </c>
      <c r="E239">
        <f t="shared" si="16"/>
        <v>0</v>
      </c>
      <c r="F239" s="1" t="e">
        <f>INDEX('App-Click Conversion by Rank'!$K$12:$S$31,MATCH(E239,'App-Click Conversion by Rank'!$J$12:$J$31,0),MATCH(D239,'App-Click Conversion by Rank'!$K$11:$S$11,0))</f>
        <v>#N/A</v>
      </c>
      <c r="G239" s="3" t="e">
        <f t="shared" si="17"/>
        <v>#N/A</v>
      </c>
      <c r="H239" s="5" t="e">
        <f t="shared" si="18"/>
        <v>#N/A</v>
      </c>
      <c r="I239">
        <f t="shared" si="19"/>
        <v>0</v>
      </c>
    </row>
    <row r="240" spans="4:9" x14ac:dyDescent="0.45">
      <c r="D240" t="str">
        <f t="shared" si="15"/>
        <v>&lt;=150</v>
      </c>
      <c r="E240">
        <f t="shared" si="16"/>
        <v>0</v>
      </c>
      <c r="F240" s="1" t="e">
        <f>INDEX('App-Click Conversion by Rank'!$K$12:$S$31,MATCH(E240,'App-Click Conversion by Rank'!$J$12:$J$31,0),MATCH(D240,'App-Click Conversion by Rank'!$K$11:$S$11,0))</f>
        <v>#N/A</v>
      </c>
      <c r="G240" s="3" t="e">
        <f t="shared" si="17"/>
        <v>#N/A</v>
      </c>
      <c r="H240" s="5" t="e">
        <f t="shared" si="18"/>
        <v>#N/A</v>
      </c>
      <c r="I240">
        <f t="shared" si="19"/>
        <v>0</v>
      </c>
    </row>
    <row r="241" spans="4:9" x14ac:dyDescent="0.45">
      <c r="D241" t="str">
        <f t="shared" si="15"/>
        <v>&lt;=150</v>
      </c>
      <c r="E241">
        <f t="shared" si="16"/>
        <v>0</v>
      </c>
      <c r="F241" s="1" t="e">
        <f>INDEX('App-Click Conversion by Rank'!$K$12:$S$31,MATCH(E241,'App-Click Conversion by Rank'!$J$12:$J$31,0),MATCH(D241,'App-Click Conversion by Rank'!$K$11:$S$11,0))</f>
        <v>#N/A</v>
      </c>
      <c r="G241" s="3" t="e">
        <f t="shared" si="17"/>
        <v>#N/A</v>
      </c>
      <c r="H241" s="5" t="e">
        <f t="shared" si="18"/>
        <v>#N/A</v>
      </c>
      <c r="I241">
        <f t="shared" si="19"/>
        <v>0</v>
      </c>
    </row>
    <row r="242" spans="4:9" x14ac:dyDescent="0.45">
      <c r="D242" t="str">
        <f t="shared" si="15"/>
        <v>&lt;=150</v>
      </c>
      <c r="E242">
        <f t="shared" si="16"/>
        <v>0</v>
      </c>
      <c r="F242" s="1" t="e">
        <f>INDEX('App-Click Conversion by Rank'!$K$12:$S$31,MATCH(E242,'App-Click Conversion by Rank'!$J$12:$J$31,0),MATCH(D242,'App-Click Conversion by Rank'!$K$11:$S$11,0))</f>
        <v>#N/A</v>
      </c>
      <c r="G242" s="3" t="e">
        <f t="shared" si="17"/>
        <v>#N/A</v>
      </c>
      <c r="H242" s="5" t="e">
        <f t="shared" si="18"/>
        <v>#N/A</v>
      </c>
      <c r="I242">
        <f t="shared" si="19"/>
        <v>0</v>
      </c>
    </row>
    <row r="243" spans="4:9" x14ac:dyDescent="0.45">
      <c r="D243" t="str">
        <f t="shared" si="15"/>
        <v>&lt;=150</v>
      </c>
      <c r="E243">
        <f t="shared" si="16"/>
        <v>0</v>
      </c>
      <c r="F243" s="1" t="e">
        <f>INDEX('App-Click Conversion by Rank'!$K$12:$S$31,MATCH(E243,'App-Click Conversion by Rank'!$J$12:$J$31,0),MATCH(D243,'App-Click Conversion by Rank'!$K$11:$S$11,0))</f>
        <v>#N/A</v>
      </c>
      <c r="G243" s="3" t="e">
        <f t="shared" si="17"/>
        <v>#N/A</v>
      </c>
      <c r="H243" s="5" t="e">
        <f t="shared" si="18"/>
        <v>#N/A</v>
      </c>
      <c r="I243">
        <f t="shared" si="19"/>
        <v>0</v>
      </c>
    </row>
    <row r="244" spans="4:9" x14ac:dyDescent="0.45">
      <c r="D244" t="str">
        <f t="shared" si="15"/>
        <v>&lt;=150</v>
      </c>
      <c r="E244">
        <f t="shared" si="16"/>
        <v>0</v>
      </c>
      <c r="F244" s="1" t="e">
        <f>INDEX('App-Click Conversion by Rank'!$K$12:$S$31,MATCH(E244,'App-Click Conversion by Rank'!$J$12:$J$31,0),MATCH(D244,'App-Click Conversion by Rank'!$K$11:$S$11,0))</f>
        <v>#N/A</v>
      </c>
      <c r="G244" s="3" t="e">
        <f t="shared" si="17"/>
        <v>#N/A</v>
      </c>
      <c r="H244" s="5" t="e">
        <f t="shared" si="18"/>
        <v>#N/A</v>
      </c>
      <c r="I244">
        <f t="shared" si="19"/>
        <v>0</v>
      </c>
    </row>
    <row r="245" spans="4:9" x14ac:dyDescent="0.45">
      <c r="D245" t="str">
        <f t="shared" si="15"/>
        <v>&lt;=150</v>
      </c>
      <c r="E245">
        <f t="shared" si="16"/>
        <v>0</v>
      </c>
      <c r="F245" s="1" t="e">
        <f>INDEX('App-Click Conversion by Rank'!$K$12:$S$31,MATCH(E245,'App-Click Conversion by Rank'!$J$12:$J$31,0),MATCH(D245,'App-Click Conversion by Rank'!$K$11:$S$11,0))</f>
        <v>#N/A</v>
      </c>
      <c r="G245" s="3" t="e">
        <f t="shared" si="17"/>
        <v>#N/A</v>
      </c>
      <c r="H245" s="5" t="e">
        <f t="shared" si="18"/>
        <v>#N/A</v>
      </c>
      <c r="I245">
        <f t="shared" si="19"/>
        <v>0</v>
      </c>
    </row>
    <row r="246" spans="4:9" x14ac:dyDescent="0.45">
      <c r="D246" t="str">
        <f t="shared" si="15"/>
        <v>&lt;=150</v>
      </c>
      <c r="E246">
        <f t="shared" si="16"/>
        <v>0</v>
      </c>
      <c r="F246" s="1" t="e">
        <f>INDEX('App-Click Conversion by Rank'!$K$12:$S$31,MATCH(E246,'App-Click Conversion by Rank'!$J$12:$J$31,0),MATCH(D246,'App-Click Conversion by Rank'!$K$11:$S$11,0))</f>
        <v>#N/A</v>
      </c>
      <c r="G246" s="3" t="e">
        <f t="shared" si="17"/>
        <v>#N/A</v>
      </c>
      <c r="H246" s="5" t="e">
        <f t="shared" si="18"/>
        <v>#N/A</v>
      </c>
      <c r="I246">
        <f t="shared" si="19"/>
        <v>0</v>
      </c>
    </row>
    <row r="247" spans="4:9" x14ac:dyDescent="0.45">
      <c r="D247" t="str">
        <f t="shared" si="15"/>
        <v>&lt;=150</v>
      </c>
      <c r="E247">
        <f t="shared" si="16"/>
        <v>0</v>
      </c>
      <c r="F247" s="1" t="e">
        <f>INDEX('App-Click Conversion by Rank'!$K$12:$S$31,MATCH(E247,'App-Click Conversion by Rank'!$J$12:$J$31,0),MATCH(D247,'App-Click Conversion by Rank'!$K$11:$S$11,0))</f>
        <v>#N/A</v>
      </c>
      <c r="G247" s="3" t="e">
        <f t="shared" si="17"/>
        <v>#N/A</v>
      </c>
      <c r="H247" s="5" t="e">
        <f t="shared" si="18"/>
        <v>#N/A</v>
      </c>
      <c r="I247">
        <f t="shared" si="19"/>
        <v>0</v>
      </c>
    </row>
    <row r="248" spans="4:9" x14ac:dyDescent="0.45">
      <c r="D248" t="str">
        <f t="shared" si="15"/>
        <v>&lt;=150</v>
      </c>
      <c r="E248">
        <f t="shared" si="16"/>
        <v>0</v>
      </c>
      <c r="F248" s="1" t="e">
        <f>INDEX('App-Click Conversion by Rank'!$K$12:$S$31,MATCH(E248,'App-Click Conversion by Rank'!$J$12:$J$31,0),MATCH(D248,'App-Click Conversion by Rank'!$K$11:$S$11,0))</f>
        <v>#N/A</v>
      </c>
      <c r="G248" s="3" t="e">
        <f t="shared" si="17"/>
        <v>#N/A</v>
      </c>
      <c r="H248" s="5" t="e">
        <f t="shared" si="18"/>
        <v>#N/A</v>
      </c>
      <c r="I248">
        <f t="shared" si="19"/>
        <v>0</v>
      </c>
    </row>
    <row r="249" spans="4:9" x14ac:dyDescent="0.45">
      <c r="D249" t="str">
        <f t="shared" si="15"/>
        <v>&lt;=150</v>
      </c>
      <c r="E249">
        <f t="shared" si="16"/>
        <v>0</v>
      </c>
      <c r="F249" s="1" t="e">
        <f>INDEX('App-Click Conversion by Rank'!$K$12:$S$31,MATCH(E249,'App-Click Conversion by Rank'!$J$12:$J$31,0),MATCH(D249,'App-Click Conversion by Rank'!$K$11:$S$11,0))</f>
        <v>#N/A</v>
      </c>
      <c r="G249" s="3" t="e">
        <f t="shared" si="17"/>
        <v>#N/A</v>
      </c>
      <c r="H249" s="5" t="e">
        <f t="shared" si="18"/>
        <v>#N/A</v>
      </c>
      <c r="I249">
        <f t="shared" si="19"/>
        <v>0</v>
      </c>
    </row>
    <row r="250" spans="4:9" x14ac:dyDescent="0.45">
      <c r="D250" t="str">
        <f t="shared" si="15"/>
        <v>&lt;=150</v>
      </c>
      <c r="E250">
        <f t="shared" si="16"/>
        <v>0</v>
      </c>
      <c r="F250" s="1" t="e">
        <f>INDEX('App-Click Conversion by Rank'!$K$12:$S$31,MATCH(E250,'App-Click Conversion by Rank'!$J$12:$J$31,0),MATCH(D250,'App-Click Conversion by Rank'!$K$11:$S$11,0))</f>
        <v>#N/A</v>
      </c>
      <c r="G250" s="3" t="e">
        <f t="shared" si="17"/>
        <v>#N/A</v>
      </c>
      <c r="H250" s="5" t="e">
        <f t="shared" si="18"/>
        <v>#N/A</v>
      </c>
      <c r="I250">
        <f t="shared" si="19"/>
        <v>0</v>
      </c>
    </row>
    <row r="251" spans="4:9" x14ac:dyDescent="0.45">
      <c r="D251" t="str">
        <f t="shared" si="15"/>
        <v>&lt;=150</v>
      </c>
      <c r="E251">
        <f t="shared" si="16"/>
        <v>0</v>
      </c>
      <c r="F251" s="1" t="e">
        <f>INDEX('App-Click Conversion by Rank'!$K$12:$S$31,MATCH(E251,'App-Click Conversion by Rank'!$J$12:$J$31,0),MATCH(D251,'App-Click Conversion by Rank'!$K$11:$S$11,0))</f>
        <v>#N/A</v>
      </c>
      <c r="G251" s="3" t="e">
        <f t="shared" si="17"/>
        <v>#N/A</v>
      </c>
      <c r="H251" s="5" t="e">
        <f t="shared" si="18"/>
        <v>#N/A</v>
      </c>
      <c r="I251">
        <f t="shared" si="19"/>
        <v>0</v>
      </c>
    </row>
    <row r="252" spans="4:9" x14ac:dyDescent="0.45">
      <c r="D252" t="str">
        <f t="shared" si="15"/>
        <v>&lt;=150</v>
      </c>
      <c r="E252">
        <f t="shared" si="16"/>
        <v>0</v>
      </c>
      <c r="F252" s="1" t="e">
        <f>INDEX('App-Click Conversion by Rank'!$K$12:$S$31,MATCH(E252,'App-Click Conversion by Rank'!$J$12:$J$31,0),MATCH(D252,'App-Click Conversion by Rank'!$K$11:$S$11,0))</f>
        <v>#N/A</v>
      </c>
      <c r="G252" s="3" t="e">
        <f t="shared" si="17"/>
        <v>#N/A</v>
      </c>
      <c r="H252" s="5" t="e">
        <f t="shared" si="18"/>
        <v>#N/A</v>
      </c>
      <c r="I252">
        <f t="shared" si="19"/>
        <v>0</v>
      </c>
    </row>
    <row r="253" spans="4:9" x14ac:dyDescent="0.45">
      <c r="D253" t="str">
        <f t="shared" si="15"/>
        <v>&lt;=150</v>
      </c>
      <c r="E253">
        <f t="shared" si="16"/>
        <v>0</v>
      </c>
      <c r="F253" s="1" t="e">
        <f>INDEX('App-Click Conversion by Rank'!$K$12:$S$31,MATCH(E253,'App-Click Conversion by Rank'!$J$12:$J$31,0),MATCH(D253,'App-Click Conversion by Rank'!$K$11:$S$11,0))</f>
        <v>#N/A</v>
      </c>
      <c r="G253" s="3" t="e">
        <f t="shared" si="17"/>
        <v>#N/A</v>
      </c>
      <c r="H253" s="5" t="e">
        <f t="shared" si="18"/>
        <v>#N/A</v>
      </c>
      <c r="I253">
        <f t="shared" si="19"/>
        <v>0</v>
      </c>
    </row>
    <row r="254" spans="4:9" x14ac:dyDescent="0.45">
      <c r="D254" t="str">
        <f t="shared" si="15"/>
        <v>&lt;=150</v>
      </c>
      <c r="E254">
        <f t="shared" si="16"/>
        <v>0</v>
      </c>
      <c r="F254" s="1" t="e">
        <f>INDEX('App-Click Conversion by Rank'!$K$12:$S$31,MATCH(E254,'App-Click Conversion by Rank'!$J$12:$J$31,0),MATCH(D254,'App-Click Conversion by Rank'!$K$11:$S$11,0))</f>
        <v>#N/A</v>
      </c>
      <c r="G254" s="3" t="e">
        <f t="shared" si="17"/>
        <v>#N/A</v>
      </c>
      <c r="H254" s="5" t="e">
        <f t="shared" si="18"/>
        <v>#N/A</v>
      </c>
      <c r="I254">
        <f t="shared" si="19"/>
        <v>0</v>
      </c>
    </row>
    <row r="255" spans="4:9" x14ac:dyDescent="0.45">
      <c r="D255" t="str">
        <f t="shared" si="15"/>
        <v>&lt;=150</v>
      </c>
      <c r="E255">
        <f t="shared" si="16"/>
        <v>0</v>
      </c>
      <c r="F255" s="1" t="e">
        <f>INDEX('App-Click Conversion by Rank'!$K$12:$S$31,MATCH(E255,'App-Click Conversion by Rank'!$J$12:$J$31,0),MATCH(D255,'App-Click Conversion by Rank'!$K$11:$S$11,0))</f>
        <v>#N/A</v>
      </c>
      <c r="G255" s="3" t="e">
        <f t="shared" si="17"/>
        <v>#N/A</v>
      </c>
      <c r="H255" s="5" t="e">
        <f t="shared" si="18"/>
        <v>#N/A</v>
      </c>
      <c r="I255">
        <f t="shared" si="19"/>
        <v>0</v>
      </c>
    </row>
    <row r="256" spans="4:9" x14ac:dyDescent="0.45">
      <c r="D256" t="str">
        <f t="shared" si="15"/>
        <v>&lt;=150</v>
      </c>
      <c r="E256">
        <f t="shared" si="16"/>
        <v>0</v>
      </c>
      <c r="F256" s="1" t="e">
        <f>INDEX('App-Click Conversion by Rank'!$K$12:$S$31,MATCH(E256,'App-Click Conversion by Rank'!$J$12:$J$31,0),MATCH(D256,'App-Click Conversion by Rank'!$K$11:$S$11,0))</f>
        <v>#N/A</v>
      </c>
      <c r="G256" s="3" t="e">
        <f t="shared" si="17"/>
        <v>#N/A</v>
      </c>
      <c r="H256" s="5" t="e">
        <f t="shared" si="18"/>
        <v>#N/A</v>
      </c>
      <c r="I256">
        <f t="shared" si="19"/>
        <v>0</v>
      </c>
    </row>
    <row r="257" spans="4:9" x14ac:dyDescent="0.45">
      <c r="D257" t="str">
        <f t="shared" si="15"/>
        <v>&lt;=150</v>
      </c>
      <c r="E257">
        <f t="shared" si="16"/>
        <v>0</v>
      </c>
      <c r="F257" s="1" t="e">
        <f>INDEX('App-Click Conversion by Rank'!$K$12:$S$31,MATCH(E257,'App-Click Conversion by Rank'!$J$12:$J$31,0),MATCH(D257,'App-Click Conversion by Rank'!$K$11:$S$11,0))</f>
        <v>#N/A</v>
      </c>
      <c r="G257" s="3" t="e">
        <f t="shared" si="17"/>
        <v>#N/A</v>
      </c>
      <c r="H257" s="5" t="e">
        <f t="shared" si="18"/>
        <v>#N/A</v>
      </c>
      <c r="I257">
        <f t="shared" si="19"/>
        <v>0</v>
      </c>
    </row>
    <row r="258" spans="4:9" x14ac:dyDescent="0.45">
      <c r="D258" t="str">
        <f t="shared" si="15"/>
        <v>&lt;=150</v>
      </c>
      <c r="E258">
        <f t="shared" si="16"/>
        <v>0</v>
      </c>
      <c r="F258" s="1" t="e">
        <f>INDEX('App-Click Conversion by Rank'!$K$12:$S$31,MATCH(E258,'App-Click Conversion by Rank'!$J$12:$J$31,0),MATCH(D258,'App-Click Conversion by Rank'!$K$11:$S$11,0))</f>
        <v>#N/A</v>
      </c>
      <c r="G258" s="3" t="e">
        <f t="shared" si="17"/>
        <v>#N/A</v>
      </c>
      <c r="H258" s="5" t="e">
        <f t="shared" si="18"/>
        <v>#N/A</v>
      </c>
      <c r="I258">
        <f t="shared" si="19"/>
        <v>0</v>
      </c>
    </row>
    <row r="259" spans="4:9" x14ac:dyDescent="0.45">
      <c r="D259" t="str">
        <f t="shared" ref="D259:D282" si="20">IF(B259&lt;=150,"&lt;=150",IF(B259&gt;500,"501+",B259))</f>
        <v>&lt;=150</v>
      </c>
      <c r="E259">
        <f t="shared" ref="E259:E282" si="21">IF(A259&gt;=20,"20+",A259)</f>
        <v>0</v>
      </c>
      <c r="F259" s="1" t="e">
        <f>INDEX('App-Click Conversion by Rank'!$K$12:$S$31,MATCH(E259,'App-Click Conversion by Rank'!$J$12:$J$31,0),MATCH(D259,'App-Click Conversion by Rank'!$K$11:$S$11,0))</f>
        <v>#N/A</v>
      </c>
      <c r="G259" s="3" t="e">
        <f t="shared" ref="G259:G282" si="22">C259*F259</f>
        <v>#N/A</v>
      </c>
      <c r="H259" s="5" t="e">
        <f t="shared" ref="H259:H282" si="23">G259*A259</f>
        <v>#N/A</v>
      </c>
      <c r="I259">
        <f t="shared" ref="I259:I282" si="24">C259*A259</f>
        <v>0</v>
      </c>
    </row>
    <row r="260" spans="4:9" x14ac:dyDescent="0.45">
      <c r="D260" t="str">
        <f t="shared" si="20"/>
        <v>&lt;=150</v>
      </c>
      <c r="E260">
        <f t="shared" si="21"/>
        <v>0</v>
      </c>
      <c r="F260" s="1" t="e">
        <f>INDEX('App-Click Conversion by Rank'!$K$12:$S$31,MATCH(E260,'App-Click Conversion by Rank'!$J$12:$J$31,0),MATCH(D260,'App-Click Conversion by Rank'!$K$11:$S$11,0))</f>
        <v>#N/A</v>
      </c>
      <c r="G260" s="3" t="e">
        <f t="shared" si="22"/>
        <v>#N/A</v>
      </c>
      <c r="H260" s="5" t="e">
        <f t="shared" si="23"/>
        <v>#N/A</v>
      </c>
      <c r="I260">
        <f t="shared" si="24"/>
        <v>0</v>
      </c>
    </row>
    <row r="261" spans="4:9" x14ac:dyDescent="0.45">
      <c r="D261" t="str">
        <f t="shared" si="20"/>
        <v>&lt;=150</v>
      </c>
      <c r="E261">
        <f t="shared" si="21"/>
        <v>0</v>
      </c>
      <c r="F261" s="1" t="e">
        <f>INDEX('App-Click Conversion by Rank'!$K$12:$S$31,MATCH(E261,'App-Click Conversion by Rank'!$J$12:$J$31,0),MATCH(D261,'App-Click Conversion by Rank'!$K$11:$S$11,0))</f>
        <v>#N/A</v>
      </c>
      <c r="G261" s="3" t="e">
        <f t="shared" si="22"/>
        <v>#N/A</v>
      </c>
      <c r="H261" s="5" t="e">
        <f t="shared" si="23"/>
        <v>#N/A</v>
      </c>
      <c r="I261">
        <f t="shared" si="24"/>
        <v>0</v>
      </c>
    </row>
    <row r="262" spans="4:9" x14ac:dyDescent="0.45">
      <c r="D262" t="str">
        <f t="shared" si="20"/>
        <v>&lt;=150</v>
      </c>
      <c r="E262">
        <f t="shared" si="21"/>
        <v>0</v>
      </c>
      <c r="F262" s="1" t="e">
        <f>INDEX('App-Click Conversion by Rank'!$K$12:$S$31,MATCH(E262,'App-Click Conversion by Rank'!$J$12:$J$31,0),MATCH(D262,'App-Click Conversion by Rank'!$K$11:$S$11,0))</f>
        <v>#N/A</v>
      </c>
      <c r="G262" s="3" t="e">
        <f t="shared" si="22"/>
        <v>#N/A</v>
      </c>
      <c r="H262" s="5" t="e">
        <f t="shared" si="23"/>
        <v>#N/A</v>
      </c>
      <c r="I262">
        <f t="shared" si="24"/>
        <v>0</v>
      </c>
    </row>
    <row r="263" spans="4:9" x14ac:dyDescent="0.45">
      <c r="D263" t="str">
        <f t="shared" si="20"/>
        <v>&lt;=150</v>
      </c>
      <c r="E263">
        <f t="shared" si="21"/>
        <v>0</v>
      </c>
      <c r="F263" s="1" t="e">
        <f>INDEX('App-Click Conversion by Rank'!$K$12:$S$31,MATCH(E263,'App-Click Conversion by Rank'!$J$12:$J$31,0),MATCH(D263,'App-Click Conversion by Rank'!$K$11:$S$11,0))</f>
        <v>#N/A</v>
      </c>
      <c r="G263" s="3" t="e">
        <f t="shared" si="22"/>
        <v>#N/A</v>
      </c>
      <c r="H263" s="5" t="e">
        <f t="shared" si="23"/>
        <v>#N/A</v>
      </c>
      <c r="I263">
        <f t="shared" si="24"/>
        <v>0</v>
      </c>
    </row>
    <row r="264" spans="4:9" x14ac:dyDescent="0.45">
      <c r="D264" t="str">
        <f t="shared" si="20"/>
        <v>&lt;=150</v>
      </c>
      <c r="E264">
        <f t="shared" si="21"/>
        <v>0</v>
      </c>
      <c r="F264" s="1" t="e">
        <f>INDEX('App-Click Conversion by Rank'!$K$12:$S$31,MATCH(E264,'App-Click Conversion by Rank'!$J$12:$J$31,0),MATCH(D264,'App-Click Conversion by Rank'!$K$11:$S$11,0))</f>
        <v>#N/A</v>
      </c>
      <c r="G264" s="3" t="e">
        <f t="shared" si="22"/>
        <v>#N/A</v>
      </c>
      <c r="H264" s="5" t="e">
        <f t="shared" si="23"/>
        <v>#N/A</v>
      </c>
      <c r="I264">
        <f t="shared" si="24"/>
        <v>0</v>
      </c>
    </row>
    <row r="265" spans="4:9" x14ac:dyDescent="0.45">
      <c r="D265" t="str">
        <f t="shared" si="20"/>
        <v>&lt;=150</v>
      </c>
      <c r="E265">
        <f t="shared" si="21"/>
        <v>0</v>
      </c>
      <c r="F265" s="1" t="e">
        <f>INDEX('App-Click Conversion by Rank'!$K$12:$S$31,MATCH(E265,'App-Click Conversion by Rank'!$J$12:$J$31,0),MATCH(D265,'App-Click Conversion by Rank'!$K$11:$S$11,0))</f>
        <v>#N/A</v>
      </c>
      <c r="G265" s="3" t="e">
        <f t="shared" si="22"/>
        <v>#N/A</v>
      </c>
      <c r="H265" s="5" t="e">
        <f t="shared" si="23"/>
        <v>#N/A</v>
      </c>
      <c r="I265">
        <f t="shared" si="24"/>
        <v>0</v>
      </c>
    </row>
    <row r="266" spans="4:9" x14ac:dyDescent="0.45">
      <c r="D266" t="str">
        <f t="shared" si="20"/>
        <v>&lt;=150</v>
      </c>
      <c r="E266">
        <f t="shared" si="21"/>
        <v>0</v>
      </c>
      <c r="F266" s="1" t="e">
        <f>INDEX('App-Click Conversion by Rank'!$K$12:$S$31,MATCH(E266,'App-Click Conversion by Rank'!$J$12:$J$31,0),MATCH(D266,'App-Click Conversion by Rank'!$K$11:$S$11,0))</f>
        <v>#N/A</v>
      </c>
      <c r="G266" s="3" t="e">
        <f t="shared" si="22"/>
        <v>#N/A</v>
      </c>
      <c r="H266" s="5" t="e">
        <f t="shared" si="23"/>
        <v>#N/A</v>
      </c>
      <c r="I266">
        <f t="shared" si="24"/>
        <v>0</v>
      </c>
    </row>
    <row r="267" spans="4:9" x14ac:dyDescent="0.45">
      <c r="D267" t="str">
        <f t="shared" si="20"/>
        <v>&lt;=150</v>
      </c>
      <c r="E267">
        <f t="shared" si="21"/>
        <v>0</v>
      </c>
      <c r="F267" s="1" t="e">
        <f>INDEX('App-Click Conversion by Rank'!$K$12:$S$31,MATCH(E267,'App-Click Conversion by Rank'!$J$12:$J$31,0),MATCH(D267,'App-Click Conversion by Rank'!$K$11:$S$11,0))</f>
        <v>#N/A</v>
      </c>
      <c r="G267" s="3" t="e">
        <f t="shared" si="22"/>
        <v>#N/A</v>
      </c>
      <c r="H267" s="5" t="e">
        <f t="shared" si="23"/>
        <v>#N/A</v>
      </c>
      <c r="I267">
        <f t="shared" si="24"/>
        <v>0</v>
      </c>
    </row>
    <row r="268" spans="4:9" x14ac:dyDescent="0.45">
      <c r="D268" t="str">
        <f t="shared" si="20"/>
        <v>&lt;=150</v>
      </c>
      <c r="E268">
        <f t="shared" si="21"/>
        <v>0</v>
      </c>
      <c r="F268" s="1" t="e">
        <f>INDEX('App-Click Conversion by Rank'!$K$12:$S$31,MATCH(E268,'App-Click Conversion by Rank'!$J$12:$J$31,0),MATCH(D268,'App-Click Conversion by Rank'!$K$11:$S$11,0))</f>
        <v>#N/A</v>
      </c>
      <c r="G268" s="3" t="e">
        <f t="shared" si="22"/>
        <v>#N/A</v>
      </c>
      <c r="H268" s="5" t="e">
        <f t="shared" si="23"/>
        <v>#N/A</v>
      </c>
      <c r="I268">
        <f t="shared" si="24"/>
        <v>0</v>
      </c>
    </row>
    <row r="269" spans="4:9" x14ac:dyDescent="0.45">
      <c r="D269" t="str">
        <f t="shared" si="20"/>
        <v>&lt;=150</v>
      </c>
      <c r="E269">
        <f t="shared" si="21"/>
        <v>0</v>
      </c>
      <c r="F269" s="1" t="e">
        <f>INDEX('App-Click Conversion by Rank'!$K$12:$S$31,MATCH(E269,'App-Click Conversion by Rank'!$J$12:$J$31,0),MATCH(D269,'App-Click Conversion by Rank'!$K$11:$S$11,0))</f>
        <v>#N/A</v>
      </c>
      <c r="G269" s="3" t="e">
        <f t="shared" si="22"/>
        <v>#N/A</v>
      </c>
      <c r="H269" s="5" t="e">
        <f t="shared" si="23"/>
        <v>#N/A</v>
      </c>
      <c r="I269">
        <f t="shared" si="24"/>
        <v>0</v>
      </c>
    </row>
    <row r="270" spans="4:9" x14ac:dyDescent="0.45">
      <c r="D270" t="str">
        <f t="shared" si="20"/>
        <v>&lt;=150</v>
      </c>
      <c r="E270">
        <f t="shared" si="21"/>
        <v>0</v>
      </c>
      <c r="F270" s="1" t="e">
        <f>INDEX('App-Click Conversion by Rank'!$K$12:$S$31,MATCH(E270,'App-Click Conversion by Rank'!$J$12:$J$31,0),MATCH(D270,'App-Click Conversion by Rank'!$K$11:$S$11,0))</f>
        <v>#N/A</v>
      </c>
      <c r="G270" s="3" t="e">
        <f t="shared" si="22"/>
        <v>#N/A</v>
      </c>
      <c r="H270" s="5" t="e">
        <f t="shared" si="23"/>
        <v>#N/A</v>
      </c>
      <c r="I270">
        <f t="shared" si="24"/>
        <v>0</v>
      </c>
    </row>
    <row r="271" spans="4:9" x14ac:dyDescent="0.45">
      <c r="D271" t="str">
        <f t="shared" si="20"/>
        <v>&lt;=150</v>
      </c>
      <c r="E271">
        <f t="shared" si="21"/>
        <v>0</v>
      </c>
      <c r="F271" s="1" t="e">
        <f>INDEX('App-Click Conversion by Rank'!$K$12:$S$31,MATCH(E271,'App-Click Conversion by Rank'!$J$12:$J$31,0),MATCH(D271,'App-Click Conversion by Rank'!$K$11:$S$11,0))</f>
        <v>#N/A</v>
      </c>
      <c r="G271" s="3" t="e">
        <f t="shared" si="22"/>
        <v>#N/A</v>
      </c>
      <c r="H271" s="5" t="e">
        <f t="shared" si="23"/>
        <v>#N/A</v>
      </c>
      <c r="I271">
        <f t="shared" si="24"/>
        <v>0</v>
      </c>
    </row>
    <row r="272" spans="4:9" x14ac:dyDescent="0.45">
      <c r="D272" t="str">
        <f t="shared" si="20"/>
        <v>&lt;=150</v>
      </c>
      <c r="E272">
        <f t="shared" si="21"/>
        <v>0</v>
      </c>
      <c r="F272" s="1" t="e">
        <f>INDEX('App-Click Conversion by Rank'!$K$12:$S$31,MATCH(E272,'App-Click Conversion by Rank'!$J$12:$J$31,0),MATCH(D272,'App-Click Conversion by Rank'!$K$11:$S$11,0))</f>
        <v>#N/A</v>
      </c>
      <c r="G272" s="3" t="e">
        <f t="shared" si="22"/>
        <v>#N/A</v>
      </c>
      <c r="H272" s="5" t="e">
        <f t="shared" si="23"/>
        <v>#N/A</v>
      </c>
      <c r="I272">
        <f t="shared" si="24"/>
        <v>0</v>
      </c>
    </row>
    <row r="273" spans="4:9" x14ac:dyDescent="0.45">
      <c r="D273" t="str">
        <f t="shared" si="20"/>
        <v>&lt;=150</v>
      </c>
      <c r="E273">
        <f t="shared" si="21"/>
        <v>0</v>
      </c>
      <c r="F273" s="1" t="e">
        <f>INDEX('App-Click Conversion by Rank'!$K$12:$S$31,MATCH(E273,'App-Click Conversion by Rank'!$J$12:$J$31,0),MATCH(D273,'App-Click Conversion by Rank'!$K$11:$S$11,0))</f>
        <v>#N/A</v>
      </c>
      <c r="G273" s="3" t="e">
        <f t="shared" si="22"/>
        <v>#N/A</v>
      </c>
      <c r="H273" s="5" t="e">
        <f t="shared" si="23"/>
        <v>#N/A</v>
      </c>
      <c r="I273">
        <f t="shared" si="24"/>
        <v>0</v>
      </c>
    </row>
    <row r="274" spans="4:9" x14ac:dyDescent="0.45">
      <c r="D274" t="str">
        <f t="shared" si="20"/>
        <v>&lt;=150</v>
      </c>
      <c r="E274">
        <f t="shared" si="21"/>
        <v>0</v>
      </c>
      <c r="F274" s="1" t="e">
        <f>INDEX('App-Click Conversion by Rank'!$K$12:$S$31,MATCH(E274,'App-Click Conversion by Rank'!$J$12:$J$31,0),MATCH(D274,'App-Click Conversion by Rank'!$K$11:$S$11,0))</f>
        <v>#N/A</v>
      </c>
      <c r="G274" s="3" t="e">
        <f t="shared" si="22"/>
        <v>#N/A</v>
      </c>
      <c r="H274" s="5" t="e">
        <f t="shared" si="23"/>
        <v>#N/A</v>
      </c>
      <c r="I274">
        <f t="shared" si="24"/>
        <v>0</v>
      </c>
    </row>
    <row r="275" spans="4:9" x14ac:dyDescent="0.45">
      <c r="D275" t="str">
        <f t="shared" si="20"/>
        <v>&lt;=150</v>
      </c>
      <c r="E275">
        <f t="shared" si="21"/>
        <v>0</v>
      </c>
      <c r="F275" s="1" t="e">
        <f>INDEX('App-Click Conversion by Rank'!$K$12:$S$31,MATCH(E275,'App-Click Conversion by Rank'!$J$12:$J$31,0),MATCH(D275,'App-Click Conversion by Rank'!$K$11:$S$11,0))</f>
        <v>#N/A</v>
      </c>
      <c r="G275" s="3" t="e">
        <f t="shared" si="22"/>
        <v>#N/A</v>
      </c>
      <c r="H275" s="5" t="e">
        <f t="shared" si="23"/>
        <v>#N/A</v>
      </c>
      <c r="I275">
        <f t="shared" si="24"/>
        <v>0</v>
      </c>
    </row>
    <row r="276" spans="4:9" x14ac:dyDescent="0.45">
      <c r="D276" t="str">
        <f t="shared" si="20"/>
        <v>&lt;=150</v>
      </c>
      <c r="E276">
        <f t="shared" si="21"/>
        <v>0</v>
      </c>
      <c r="F276" s="1" t="e">
        <f>INDEX('App-Click Conversion by Rank'!$K$12:$S$31,MATCH(E276,'App-Click Conversion by Rank'!$J$12:$J$31,0),MATCH(D276,'App-Click Conversion by Rank'!$K$11:$S$11,0))</f>
        <v>#N/A</v>
      </c>
      <c r="G276" s="3" t="e">
        <f t="shared" si="22"/>
        <v>#N/A</v>
      </c>
      <c r="H276" s="5" t="e">
        <f t="shared" si="23"/>
        <v>#N/A</v>
      </c>
      <c r="I276">
        <f t="shared" si="24"/>
        <v>0</v>
      </c>
    </row>
    <row r="277" spans="4:9" x14ac:dyDescent="0.45">
      <c r="D277" t="str">
        <f t="shared" si="20"/>
        <v>&lt;=150</v>
      </c>
      <c r="E277">
        <f t="shared" si="21"/>
        <v>0</v>
      </c>
      <c r="F277" s="1" t="e">
        <f>INDEX('App-Click Conversion by Rank'!$K$12:$S$31,MATCH(E277,'App-Click Conversion by Rank'!$J$12:$J$31,0),MATCH(D277,'App-Click Conversion by Rank'!$K$11:$S$11,0))</f>
        <v>#N/A</v>
      </c>
      <c r="G277" s="3" t="e">
        <f t="shared" si="22"/>
        <v>#N/A</v>
      </c>
      <c r="H277" s="5" t="e">
        <f t="shared" si="23"/>
        <v>#N/A</v>
      </c>
      <c r="I277">
        <f t="shared" si="24"/>
        <v>0</v>
      </c>
    </row>
    <row r="278" spans="4:9" x14ac:dyDescent="0.45">
      <c r="D278" t="str">
        <f t="shared" si="20"/>
        <v>&lt;=150</v>
      </c>
      <c r="E278">
        <f t="shared" si="21"/>
        <v>0</v>
      </c>
      <c r="F278" s="1" t="e">
        <f>INDEX('App-Click Conversion by Rank'!$K$12:$S$31,MATCH(E278,'App-Click Conversion by Rank'!$J$12:$J$31,0),MATCH(D278,'App-Click Conversion by Rank'!$K$11:$S$11,0))</f>
        <v>#N/A</v>
      </c>
      <c r="G278" s="3" t="e">
        <f t="shared" si="22"/>
        <v>#N/A</v>
      </c>
      <c r="H278" s="5" t="e">
        <f t="shared" si="23"/>
        <v>#N/A</v>
      </c>
      <c r="I278">
        <f t="shared" si="24"/>
        <v>0</v>
      </c>
    </row>
    <row r="279" spans="4:9" x14ac:dyDescent="0.45">
      <c r="D279" t="str">
        <f t="shared" si="20"/>
        <v>&lt;=150</v>
      </c>
      <c r="E279">
        <f t="shared" si="21"/>
        <v>0</v>
      </c>
      <c r="F279" s="1" t="e">
        <f>INDEX('App-Click Conversion by Rank'!$K$12:$S$31,MATCH(E279,'App-Click Conversion by Rank'!$J$12:$J$31,0),MATCH(D279,'App-Click Conversion by Rank'!$K$11:$S$11,0))</f>
        <v>#N/A</v>
      </c>
      <c r="G279" s="3" t="e">
        <f t="shared" si="22"/>
        <v>#N/A</v>
      </c>
      <c r="H279" s="5" t="e">
        <f t="shared" si="23"/>
        <v>#N/A</v>
      </c>
      <c r="I279">
        <f t="shared" si="24"/>
        <v>0</v>
      </c>
    </row>
    <row r="280" spans="4:9" x14ac:dyDescent="0.45">
      <c r="D280" t="str">
        <f t="shared" si="20"/>
        <v>&lt;=150</v>
      </c>
      <c r="E280">
        <f t="shared" si="21"/>
        <v>0</v>
      </c>
      <c r="F280" s="1" t="e">
        <f>INDEX('App-Click Conversion by Rank'!$K$12:$S$31,MATCH(E280,'App-Click Conversion by Rank'!$J$12:$J$31,0),MATCH(D280,'App-Click Conversion by Rank'!$K$11:$S$11,0))</f>
        <v>#N/A</v>
      </c>
      <c r="G280" s="3" t="e">
        <f t="shared" si="22"/>
        <v>#N/A</v>
      </c>
      <c r="H280" s="5" t="e">
        <f t="shared" si="23"/>
        <v>#N/A</v>
      </c>
      <c r="I280">
        <f t="shared" si="24"/>
        <v>0</v>
      </c>
    </row>
    <row r="281" spans="4:9" x14ac:dyDescent="0.45">
      <c r="D281" t="str">
        <f t="shared" si="20"/>
        <v>&lt;=150</v>
      </c>
      <c r="E281">
        <f t="shared" si="21"/>
        <v>0</v>
      </c>
      <c r="F281" s="1" t="e">
        <f>INDEX('App-Click Conversion by Rank'!$K$12:$S$31,MATCH(E281,'App-Click Conversion by Rank'!$J$12:$J$31,0),MATCH(D281,'App-Click Conversion by Rank'!$K$11:$S$11,0))</f>
        <v>#N/A</v>
      </c>
      <c r="G281" s="3" t="e">
        <f t="shared" si="22"/>
        <v>#N/A</v>
      </c>
      <c r="H281" s="5" t="e">
        <f t="shared" si="23"/>
        <v>#N/A</v>
      </c>
      <c r="I281">
        <f t="shared" si="24"/>
        <v>0</v>
      </c>
    </row>
    <row r="282" spans="4:9" x14ac:dyDescent="0.45">
      <c r="D282" t="str">
        <f t="shared" si="20"/>
        <v>&lt;=150</v>
      </c>
      <c r="E282">
        <f t="shared" si="21"/>
        <v>0</v>
      </c>
      <c r="F282" s="1" t="e">
        <f>INDEX('App-Click Conversion by Rank'!$K$12:$S$31,MATCH(E282,'App-Click Conversion by Rank'!$J$12:$J$31,0),MATCH(D282,'App-Click Conversion by Rank'!$K$11:$S$11,0))</f>
        <v>#N/A</v>
      </c>
      <c r="G282" s="3" t="e">
        <f t="shared" si="22"/>
        <v>#N/A</v>
      </c>
      <c r="H282" s="5" t="e">
        <f t="shared" si="23"/>
        <v>#N/A</v>
      </c>
      <c r="I282">
        <f t="shared" si="24"/>
        <v>0</v>
      </c>
    </row>
    <row r="283" spans="4:9" x14ac:dyDescent="0.45">
      <c r="G283" s="3"/>
      <c r="H283" s="5"/>
    </row>
    <row r="284" spans="4:9" x14ac:dyDescent="0.45">
      <c r="G284" s="3"/>
      <c r="H284" s="5"/>
    </row>
    <row r="285" spans="4:9" x14ac:dyDescent="0.45">
      <c r="G285" s="3"/>
      <c r="H285" s="5"/>
    </row>
    <row r="286" spans="4:9" x14ac:dyDescent="0.45">
      <c r="G286" s="3"/>
      <c r="H286" s="5"/>
    </row>
    <row r="287" spans="4:9" x14ac:dyDescent="0.45">
      <c r="G287" s="3"/>
      <c r="H287" s="5"/>
    </row>
    <row r="288" spans="4:9" x14ac:dyDescent="0.45">
      <c r="G288" s="3"/>
      <c r="H288" s="5"/>
    </row>
    <row r="289" spans="7:8" x14ac:dyDescent="0.45">
      <c r="G289" s="3"/>
      <c r="H289" s="5"/>
    </row>
    <row r="290" spans="7:8" x14ac:dyDescent="0.45">
      <c r="G290" s="3"/>
      <c r="H290" s="5"/>
    </row>
    <row r="291" spans="7:8" x14ac:dyDescent="0.45">
      <c r="G291" s="3"/>
      <c r="H291" s="5"/>
    </row>
    <row r="292" spans="7:8" x14ac:dyDescent="0.45">
      <c r="G292" s="3"/>
      <c r="H292" s="5"/>
    </row>
    <row r="293" spans="7:8" x14ac:dyDescent="0.45">
      <c r="G293" s="3"/>
      <c r="H293" s="5"/>
    </row>
    <row r="294" spans="7:8" x14ac:dyDescent="0.45">
      <c r="G294" s="3"/>
      <c r="H294" s="5"/>
    </row>
    <row r="295" spans="7:8" x14ac:dyDescent="0.45">
      <c r="G295" s="3"/>
      <c r="H295" s="5"/>
    </row>
    <row r="296" spans="7:8" x14ac:dyDescent="0.45">
      <c r="G296" s="3"/>
      <c r="H296" s="5"/>
    </row>
    <row r="297" spans="7:8" x14ac:dyDescent="0.45">
      <c r="G297" s="3"/>
      <c r="H297" s="5"/>
    </row>
    <row r="298" spans="7:8" x14ac:dyDescent="0.45">
      <c r="G298" s="3"/>
      <c r="H298" s="5"/>
    </row>
    <row r="299" spans="7:8" x14ac:dyDescent="0.45">
      <c r="G299" s="3"/>
      <c r="H299" s="5"/>
    </row>
    <row r="300" spans="7:8" x14ac:dyDescent="0.45">
      <c r="G300" s="3"/>
      <c r="H300" s="5"/>
    </row>
    <row r="301" spans="7:8" x14ac:dyDescent="0.45">
      <c r="G301" s="3"/>
      <c r="H301" s="5"/>
    </row>
    <row r="302" spans="7:8" x14ac:dyDescent="0.45">
      <c r="G302" s="3"/>
      <c r="H302" s="5"/>
    </row>
    <row r="303" spans="7:8" x14ac:dyDescent="0.45">
      <c r="G303" s="3"/>
      <c r="H303" s="5"/>
    </row>
    <row r="304" spans="7:8" x14ac:dyDescent="0.45">
      <c r="G304" s="3"/>
      <c r="H304" s="5"/>
    </row>
    <row r="305" spans="7:8" x14ac:dyDescent="0.45">
      <c r="G305" s="3"/>
      <c r="H305" s="5"/>
    </row>
    <row r="306" spans="7:8" x14ac:dyDescent="0.45">
      <c r="G306" s="3"/>
      <c r="H306" s="5"/>
    </row>
    <row r="307" spans="7:8" x14ac:dyDescent="0.45">
      <c r="G307" s="3"/>
      <c r="H307" s="5"/>
    </row>
    <row r="308" spans="7:8" x14ac:dyDescent="0.45">
      <c r="G308" s="3"/>
      <c r="H308" s="5"/>
    </row>
    <row r="309" spans="7:8" x14ac:dyDescent="0.45">
      <c r="G309" s="3"/>
      <c r="H309" s="5"/>
    </row>
    <row r="310" spans="7:8" x14ac:dyDescent="0.45">
      <c r="G310" s="3"/>
      <c r="H310" s="5"/>
    </row>
    <row r="311" spans="7:8" x14ac:dyDescent="0.45">
      <c r="G311" s="3"/>
      <c r="H311" s="5"/>
    </row>
    <row r="312" spans="7:8" x14ac:dyDescent="0.45">
      <c r="G312" s="3"/>
      <c r="H312" s="5"/>
    </row>
    <row r="313" spans="7:8" x14ac:dyDescent="0.45">
      <c r="G313" s="3"/>
      <c r="H313" s="5"/>
    </row>
    <row r="314" spans="7:8" x14ac:dyDescent="0.45">
      <c r="G314" s="3"/>
      <c r="H314" s="5"/>
    </row>
    <row r="315" spans="7:8" x14ac:dyDescent="0.45">
      <c r="G315" s="3"/>
      <c r="H315" s="5"/>
    </row>
    <row r="316" spans="7:8" x14ac:dyDescent="0.45">
      <c r="G316" s="3"/>
      <c r="H316" s="5"/>
    </row>
    <row r="317" spans="7:8" x14ac:dyDescent="0.45">
      <c r="G317" s="3"/>
      <c r="H317" s="5"/>
    </row>
    <row r="318" spans="7:8" x14ac:dyDescent="0.45">
      <c r="G318" s="3"/>
      <c r="H318" s="5"/>
    </row>
    <row r="319" spans="7:8" x14ac:dyDescent="0.45">
      <c r="G319" s="3"/>
      <c r="H319" s="5"/>
    </row>
    <row r="320" spans="7:8" x14ac:dyDescent="0.45">
      <c r="G320" s="3"/>
      <c r="H320" s="5"/>
    </row>
    <row r="321" spans="7:8" x14ac:dyDescent="0.45">
      <c r="G321" s="3"/>
      <c r="H321" s="5"/>
    </row>
    <row r="322" spans="7:8" x14ac:dyDescent="0.45">
      <c r="G322" s="3"/>
      <c r="H322" s="5"/>
    </row>
    <row r="323" spans="7:8" x14ac:dyDescent="0.45">
      <c r="G323" s="3"/>
      <c r="H323" s="5"/>
    </row>
    <row r="324" spans="7:8" x14ac:dyDescent="0.45">
      <c r="G324" s="3"/>
      <c r="H324" s="5"/>
    </row>
    <row r="325" spans="7:8" x14ac:dyDescent="0.45">
      <c r="G325" s="3"/>
      <c r="H325" s="5"/>
    </row>
    <row r="326" spans="7:8" x14ac:dyDescent="0.45">
      <c r="G326" s="3"/>
      <c r="H326" s="5"/>
    </row>
    <row r="327" spans="7:8" x14ac:dyDescent="0.45">
      <c r="G327" s="3"/>
      <c r="H327" s="5"/>
    </row>
    <row r="328" spans="7:8" x14ac:dyDescent="0.45">
      <c r="G328" s="3"/>
      <c r="H328" s="5"/>
    </row>
    <row r="329" spans="7:8" x14ac:dyDescent="0.45">
      <c r="G329" s="3"/>
      <c r="H329" s="5"/>
    </row>
    <row r="330" spans="7:8" x14ac:dyDescent="0.45">
      <c r="G330" s="3"/>
      <c r="H330" s="5"/>
    </row>
    <row r="331" spans="7:8" x14ac:dyDescent="0.45">
      <c r="G331" s="3"/>
      <c r="H331" s="5"/>
    </row>
    <row r="332" spans="7:8" x14ac:dyDescent="0.45">
      <c r="G332" s="3"/>
      <c r="H332" s="5"/>
    </row>
    <row r="333" spans="7:8" x14ac:dyDescent="0.45">
      <c r="G333" s="3"/>
      <c r="H333" s="5"/>
    </row>
    <row r="334" spans="7:8" x14ac:dyDescent="0.45">
      <c r="G334" s="3"/>
      <c r="H334" s="5"/>
    </row>
    <row r="335" spans="7:8" x14ac:dyDescent="0.45">
      <c r="G335" s="3"/>
      <c r="H335" s="5"/>
    </row>
    <row r="336" spans="7:8" x14ac:dyDescent="0.45">
      <c r="G336" s="3"/>
      <c r="H336" s="5"/>
    </row>
    <row r="337" spans="7:8" x14ac:dyDescent="0.45">
      <c r="G337" s="3"/>
      <c r="H337" s="5"/>
    </row>
    <row r="338" spans="7:8" x14ac:dyDescent="0.45">
      <c r="G338" s="3"/>
      <c r="H338" s="5"/>
    </row>
    <row r="339" spans="7:8" x14ac:dyDescent="0.45">
      <c r="G339" s="3"/>
      <c r="H339" s="5"/>
    </row>
    <row r="340" spans="7:8" x14ac:dyDescent="0.45">
      <c r="G340" s="3"/>
      <c r="H340" s="5"/>
    </row>
    <row r="341" spans="7:8" x14ac:dyDescent="0.45">
      <c r="G341" s="3"/>
      <c r="H341" s="5"/>
    </row>
    <row r="342" spans="7:8" x14ac:dyDescent="0.45">
      <c r="G342" s="3"/>
      <c r="H342" s="5"/>
    </row>
    <row r="343" spans="7:8" x14ac:dyDescent="0.45">
      <c r="G343" s="3"/>
      <c r="H343" s="5"/>
    </row>
    <row r="344" spans="7:8" x14ac:dyDescent="0.45">
      <c r="G344" s="3"/>
      <c r="H344" s="5"/>
    </row>
    <row r="345" spans="7:8" x14ac:dyDescent="0.45">
      <c r="G345" s="3"/>
      <c r="H345" s="5"/>
    </row>
    <row r="346" spans="7:8" x14ac:dyDescent="0.45">
      <c r="G346" s="3"/>
      <c r="H346" s="5"/>
    </row>
    <row r="347" spans="7:8" x14ac:dyDescent="0.45">
      <c r="G347" s="3"/>
      <c r="H347" s="5"/>
    </row>
    <row r="348" spans="7:8" x14ac:dyDescent="0.45">
      <c r="G348" s="3"/>
      <c r="H348" s="5"/>
    </row>
    <row r="349" spans="7:8" x14ac:dyDescent="0.45">
      <c r="G349" s="3"/>
      <c r="H349" s="5"/>
    </row>
    <row r="350" spans="7:8" x14ac:dyDescent="0.45">
      <c r="G350" s="3"/>
      <c r="H350" s="5"/>
    </row>
    <row r="351" spans="7:8" x14ac:dyDescent="0.45">
      <c r="G351" s="3"/>
      <c r="H351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4D28-4958-48D5-8874-E47F5A987704}">
  <dimension ref="D1:I351"/>
  <sheetViews>
    <sheetView workbookViewId="0">
      <selection sqref="A1:C1048576"/>
    </sheetView>
  </sheetViews>
  <sheetFormatPr defaultRowHeight="14.25" x14ac:dyDescent="0.45"/>
  <cols>
    <col min="1" max="1" width="8.59765625" customWidth="1"/>
    <col min="2" max="2" width="11.6640625" bestFit="1" customWidth="1"/>
    <col min="3" max="3" width="5.9296875" bestFit="1" customWidth="1"/>
    <col min="4" max="4" width="12.6640625" bestFit="1" customWidth="1"/>
    <col min="5" max="5" width="11" bestFit="1" customWidth="1"/>
    <col min="6" max="6" width="9.3984375" style="1" bestFit="1" customWidth="1"/>
    <col min="7" max="7" width="7.3984375" bestFit="1" customWidth="1"/>
    <col min="8" max="8" width="9.265625" bestFit="1" customWidth="1"/>
    <col min="9" max="9" width="10.33203125" bestFit="1" customWidth="1"/>
  </cols>
  <sheetData>
    <row r="1" spans="4:9" x14ac:dyDescent="0.45">
      <c r="D1" t="s">
        <v>10</v>
      </c>
      <c r="E1" t="s">
        <v>11</v>
      </c>
      <c r="F1" s="1" t="s">
        <v>12</v>
      </c>
      <c r="G1" t="s">
        <v>8</v>
      </c>
      <c r="H1" t="s">
        <v>13</v>
      </c>
      <c r="I1" t="s">
        <v>14</v>
      </c>
    </row>
    <row r="2" spans="4:9" x14ac:dyDescent="0.45">
      <c r="D2" t="str">
        <f>IF(B2&lt;=150,"&lt;=150",IF(B2&gt;500,"501+",B2))</f>
        <v>&lt;=150</v>
      </c>
      <c r="E2">
        <f>IF(A2&gt;=20,"20+",A2)</f>
        <v>0</v>
      </c>
      <c r="F2" s="1" t="e">
        <f>INDEX('App-Click Conversion by Rank'!$K$12:$S$31,MATCH(E2,'App-Click Conversion by Rank'!$J$12:$J$31,0),MATCH(D2,'App-Click Conversion by Rank'!$K$11:$S$11,0))</f>
        <v>#N/A</v>
      </c>
      <c r="G2" s="3" t="e">
        <f>C2*F2</f>
        <v>#N/A</v>
      </c>
      <c r="H2" s="5" t="e">
        <f>G2*A2</f>
        <v>#N/A</v>
      </c>
      <c r="I2">
        <f>C2*A2</f>
        <v>0</v>
      </c>
    </row>
    <row r="3" spans="4:9" x14ac:dyDescent="0.45">
      <c r="D3" t="str">
        <f t="shared" ref="D3:D66" si="0">IF(B3&lt;=150,"&lt;=150",IF(B3&gt;500,"501+",B3))</f>
        <v>&lt;=150</v>
      </c>
      <c r="E3">
        <f t="shared" ref="E3:E66" si="1">IF(A3&gt;=20,"20+",A3)</f>
        <v>0</v>
      </c>
      <c r="F3" s="1" t="e">
        <f>INDEX('App-Click Conversion by Rank'!$K$12:$S$31,MATCH(E3,'App-Click Conversion by Rank'!$J$12:$J$31,0),MATCH(D3,'App-Click Conversion by Rank'!$K$11:$S$11,0))</f>
        <v>#N/A</v>
      </c>
      <c r="G3" s="3" t="e">
        <f t="shared" ref="G3:G66" si="2">C3*F3</f>
        <v>#N/A</v>
      </c>
      <c r="H3" s="5" t="e">
        <f t="shared" ref="H3:H66" si="3">G3*A3</f>
        <v>#N/A</v>
      </c>
      <c r="I3">
        <f t="shared" ref="I3:I66" si="4">C3*A3</f>
        <v>0</v>
      </c>
    </row>
    <row r="4" spans="4:9" x14ac:dyDescent="0.45">
      <c r="D4" t="str">
        <f t="shared" si="0"/>
        <v>&lt;=150</v>
      </c>
      <c r="E4">
        <f t="shared" si="1"/>
        <v>0</v>
      </c>
      <c r="F4" s="1" t="e">
        <f>INDEX('App-Click Conversion by Rank'!$K$12:$S$31,MATCH(E4,'App-Click Conversion by Rank'!$J$12:$J$31,0),MATCH(D4,'App-Click Conversion by Rank'!$K$11:$S$11,0))</f>
        <v>#N/A</v>
      </c>
      <c r="G4" s="3" t="e">
        <f t="shared" si="2"/>
        <v>#N/A</v>
      </c>
      <c r="H4" s="5" t="e">
        <f t="shared" si="3"/>
        <v>#N/A</v>
      </c>
      <c r="I4">
        <f t="shared" si="4"/>
        <v>0</v>
      </c>
    </row>
    <row r="5" spans="4:9" x14ac:dyDescent="0.45">
      <c r="D5" t="str">
        <f t="shared" si="0"/>
        <v>&lt;=150</v>
      </c>
      <c r="E5">
        <f t="shared" si="1"/>
        <v>0</v>
      </c>
      <c r="F5" s="1" t="e">
        <f>INDEX('App-Click Conversion by Rank'!$K$12:$S$31,MATCH(E5,'App-Click Conversion by Rank'!$J$12:$J$31,0),MATCH(D5,'App-Click Conversion by Rank'!$K$11:$S$11,0))</f>
        <v>#N/A</v>
      </c>
      <c r="G5" s="3" t="e">
        <f t="shared" si="2"/>
        <v>#N/A</v>
      </c>
      <c r="H5" s="5" t="e">
        <f t="shared" si="3"/>
        <v>#N/A</v>
      </c>
      <c r="I5">
        <f t="shared" si="4"/>
        <v>0</v>
      </c>
    </row>
    <row r="6" spans="4:9" x14ac:dyDescent="0.45">
      <c r="D6" t="str">
        <f t="shared" si="0"/>
        <v>&lt;=150</v>
      </c>
      <c r="E6">
        <f t="shared" si="1"/>
        <v>0</v>
      </c>
      <c r="F6" s="1" t="e">
        <f>INDEX('App-Click Conversion by Rank'!$K$12:$S$31,MATCH(E6,'App-Click Conversion by Rank'!$J$12:$J$31,0),MATCH(D6,'App-Click Conversion by Rank'!$K$11:$S$11,0))</f>
        <v>#N/A</v>
      </c>
      <c r="G6" s="3" t="e">
        <f t="shared" si="2"/>
        <v>#N/A</v>
      </c>
      <c r="H6" s="5" t="e">
        <f t="shared" si="3"/>
        <v>#N/A</v>
      </c>
      <c r="I6">
        <f t="shared" si="4"/>
        <v>0</v>
      </c>
    </row>
    <row r="7" spans="4:9" x14ac:dyDescent="0.45">
      <c r="D7" t="str">
        <f t="shared" si="0"/>
        <v>&lt;=150</v>
      </c>
      <c r="E7">
        <f t="shared" si="1"/>
        <v>0</v>
      </c>
      <c r="F7" s="1" t="e">
        <f>INDEX('App-Click Conversion by Rank'!$K$12:$S$31,MATCH(E7,'App-Click Conversion by Rank'!$J$12:$J$31,0),MATCH(D7,'App-Click Conversion by Rank'!$K$11:$S$11,0))</f>
        <v>#N/A</v>
      </c>
      <c r="G7" s="3" t="e">
        <f t="shared" si="2"/>
        <v>#N/A</v>
      </c>
      <c r="H7" s="5" t="e">
        <f t="shared" si="3"/>
        <v>#N/A</v>
      </c>
      <c r="I7">
        <f t="shared" si="4"/>
        <v>0</v>
      </c>
    </row>
    <row r="8" spans="4:9" x14ac:dyDescent="0.45">
      <c r="D8" t="str">
        <f t="shared" si="0"/>
        <v>&lt;=150</v>
      </c>
      <c r="E8">
        <f t="shared" si="1"/>
        <v>0</v>
      </c>
      <c r="F8" s="1" t="e">
        <f>INDEX('App-Click Conversion by Rank'!$K$12:$S$31,MATCH(E8,'App-Click Conversion by Rank'!$J$12:$J$31,0),MATCH(D8,'App-Click Conversion by Rank'!$K$11:$S$11,0))</f>
        <v>#N/A</v>
      </c>
      <c r="G8" s="3" t="e">
        <f t="shared" si="2"/>
        <v>#N/A</v>
      </c>
      <c r="H8" s="5" t="e">
        <f t="shared" si="3"/>
        <v>#N/A</v>
      </c>
      <c r="I8">
        <f t="shared" si="4"/>
        <v>0</v>
      </c>
    </row>
    <row r="9" spans="4:9" x14ac:dyDescent="0.45">
      <c r="D9" t="str">
        <f t="shared" si="0"/>
        <v>&lt;=150</v>
      </c>
      <c r="E9">
        <f t="shared" si="1"/>
        <v>0</v>
      </c>
      <c r="F9" s="1" t="e">
        <f>INDEX('App-Click Conversion by Rank'!$K$12:$S$31,MATCH(E9,'App-Click Conversion by Rank'!$J$12:$J$31,0),MATCH(D9,'App-Click Conversion by Rank'!$K$11:$S$11,0))</f>
        <v>#N/A</v>
      </c>
      <c r="G9" s="3" t="e">
        <f t="shared" si="2"/>
        <v>#N/A</v>
      </c>
      <c r="H9" s="5" t="e">
        <f t="shared" si="3"/>
        <v>#N/A</v>
      </c>
      <c r="I9">
        <f t="shared" si="4"/>
        <v>0</v>
      </c>
    </row>
    <row r="10" spans="4:9" x14ac:dyDescent="0.45">
      <c r="D10" t="str">
        <f t="shared" si="0"/>
        <v>&lt;=150</v>
      </c>
      <c r="E10">
        <f t="shared" si="1"/>
        <v>0</v>
      </c>
      <c r="F10" s="1" t="e">
        <f>INDEX('App-Click Conversion by Rank'!$K$12:$S$31,MATCH(E10,'App-Click Conversion by Rank'!$J$12:$J$31,0),MATCH(D10,'App-Click Conversion by Rank'!$K$11:$S$11,0))</f>
        <v>#N/A</v>
      </c>
      <c r="G10" s="3" t="e">
        <f t="shared" si="2"/>
        <v>#N/A</v>
      </c>
      <c r="H10" s="5" t="e">
        <f t="shared" si="3"/>
        <v>#N/A</v>
      </c>
      <c r="I10">
        <f t="shared" si="4"/>
        <v>0</v>
      </c>
    </row>
    <row r="11" spans="4:9" x14ac:dyDescent="0.45">
      <c r="D11" t="str">
        <f t="shared" si="0"/>
        <v>&lt;=150</v>
      </c>
      <c r="E11">
        <f t="shared" si="1"/>
        <v>0</v>
      </c>
      <c r="F11" s="1" t="e">
        <f>INDEX('App-Click Conversion by Rank'!$K$12:$S$31,MATCH(E11,'App-Click Conversion by Rank'!$J$12:$J$31,0),MATCH(D11,'App-Click Conversion by Rank'!$K$11:$S$11,0))</f>
        <v>#N/A</v>
      </c>
      <c r="G11" s="3" t="e">
        <f t="shared" si="2"/>
        <v>#N/A</v>
      </c>
      <c r="H11" s="5" t="e">
        <f t="shared" si="3"/>
        <v>#N/A</v>
      </c>
      <c r="I11">
        <f t="shared" si="4"/>
        <v>0</v>
      </c>
    </row>
    <row r="12" spans="4:9" x14ac:dyDescent="0.45">
      <c r="D12" t="str">
        <f t="shared" si="0"/>
        <v>&lt;=150</v>
      </c>
      <c r="E12">
        <f t="shared" si="1"/>
        <v>0</v>
      </c>
      <c r="F12" s="1" t="e">
        <f>INDEX('App-Click Conversion by Rank'!$K$12:$S$31,MATCH(E12,'App-Click Conversion by Rank'!$J$12:$J$31,0),MATCH(D12,'App-Click Conversion by Rank'!$K$11:$S$11,0))</f>
        <v>#N/A</v>
      </c>
      <c r="G12" s="3" t="e">
        <f t="shared" si="2"/>
        <v>#N/A</v>
      </c>
      <c r="H12" s="5" t="e">
        <f t="shared" si="3"/>
        <v>#N/A</v>
      </c>
      <c r="I12">
        <f t="shared" si="4"/>
        <v>0</v>
      </c>
    </row>
    <row r="13" spans="4:9" x14ac:dyDescent="0.45">
      <c r="D13" t="str">
        <f t="shared" si="0"/>
        <v>&lt;=150</v>
      </c>
      <c r="E13">
        <f t="shared" si="1"/>
        <v>0</v>
      </c>
      <c r="F13" s="1" t="e">
        <f>INDEX('App-Click Conversion by Rank'!$K$12:$S$31,MATCH(E13,'App-Click Conversion by Rank'!$J$12:$J$31,0),MATCH(D13,'App-Click Conversion by Rank'!$K$11:$S$11,0))</f>
        <v>#N/A</v>
      </c>
      <c r="G13" s="3" t="e">
        <f t="shared" si="2"/>
        <v>#N/A</v>
      </c>
      <c r="H13" s="5" t="e">
        <f t="shared" si="3"/>
        <v>#N/A</v>
      </c>
      <c r="I13">
        <f t="shared" si="4"/>
        <v>0</v>
      </c>
    </row>
    <row r="14" spans="4:9" x14ac:dyDescent="0.45">
      <c r="D14" t="str">
        <f t="shared" si="0"/>
        <v>&lt;=150</v>
      </c>
      <c r="E14">
        <f t="shared" si="1"/>
        <v>0</v>
      </c>
      <c r="F14" s="1" t="e">
        <f>INDEX('App-Click Conversion by Rank'!$K$12:$S$31,MATCH(E14,'App-Click Conversion by Rank'!$J$12:$J$31,0),MATCH(D14,'App-Click Conversion by Rank'!$K$11:$S$11,0))</f>
        <v>#N/A</v>
      </c>
      <c r="G14" s="3" t="e">
        <f t="shared" si="2"/>
        <v>#N/A</v>
      </c>
      <c r="H14" s="5" t="e">
        <f t="shared" si="3"/>
        <v>#N/A</v>
      </c>
      <c r="I14">
        <f t="shared" si="4"/>
        <v>0</v>
      </c>
    </row>
    <row r="15" spans="4:9" x14ac:dyDescent="0.45">
      <c r="D15" t="str">
        <f t="shared" si="0"/>
        <v>&lt;=150</v>
      </c>
      <c r="E15">
        <f t="shared" si="1"/>
        <v>0</v>
      </c>
      <c r="F15" s="1" t="e">
        <f>INDEX('App-Click Conversion by Rank'!$K$12:$S$31,MATCH(E15,'App-Click Conversion by Rank'!$J$12:$J$31,0),MATCH(D15,'App-Click Conversion by Rank'!$K$11:$S$11,0))</f>
        <v>#N/A</v>
      </c>
      <c r="G15" s="3" t="e">
        <f t="shared" si="2"/>
        <v>#N/A</v>
      </c>
      <c r="H15" s="5" t="e">
        <f t="shared" si="3"/>
        <v>#N/A</v>
      </c>
      <c r="I15">
        <f t="shared" si="4"/>
        <v>0</v>
      </c>
    </row>
    <row r="16" spans="4:9" x14ac:dyDescent="0.45">
      <c r="D16" t="str">
        <f t="shared" si="0"/>
        <v>&lt;=150</v>
      </c>
      <c r="E16">
        <f t="shared" si="1"/>
        <v>0</v>
      </c>
      <c r="F16" s="1" t="e">
        <f>INDEX('App-Click Conversion by Rank'!$K$12:$S$31,MATCH(E16,'App-Click Conversion by Rank'!$J$12:$J$31,0),MATCH(D16,'App-Click Conversion by Rank'!$K$11:$S$11,0))</f>
        <v>#N/A</v>
      </c>
      <c r="G16" s="3" t="e">
        <f t="shared" si="2"/>
        <v>#N/A</v>
      </c>
      <c r="H16" s="5" t="e">
        <f t="shared" si="3"/>
        <v>#N/A</v>
      </c>
      <c r="I16">
        <f t="shared" si="4"/>
        <v>0</v>
      </c>
    </row>
    <row r="17" spans="4:9" x14ac:dyDescent="0.45">
      <c r="D17" t="str">
        <f t="shared" si="0"/>
        <v>&lt;=150</v>
      </c>
      <c r="E17">
        <f t="shared" si="1"/>
        <v>0</v>
      </c>
      <c r="F17" s="1" t="e">
        <f>INDEX('App-Click Conversion by Rank'!$K$12:$S$31,MATCH(E17,'App-Click Conversion by Rank'!$J$12:$J$31,0),MATCH(D17,'App-Click Conversion by Rank'!$K$11:$S$11,0))</f>
        <v>#N/A</v>
      </c>
      <c r="G17" s="3" t="e">
        <f t="shared" si="2"/>
        <v>#N/A</v>
      </c>
      <c r="H17" s="5" t="e">
        <f t="shared" si="3"/>
        <v>#N/A</v>
      </c>
      <c r="I17">
        <f t="shared" si="4"/>
        <v>0</v>
      </c>
    </row>
    <row r="18" spans="4:9" x14ac:dyDescent="0.45">
      <c r="D18" t="str">
        <f t="shared" si="0"/>
        <v>&lt;=150</v>
      </c>
      <c r="E18">
        <f t="shared" si="1"/>
        <v>0</v>
      </c>
      <c r="F18" s="1" t="e">
        <f>INDEX('App-Click Conversion by Rank'!$K$12:$S$31,MATCH(E18,'App-Click Conversion by Rank'!$J$12:$J$31,0),MATCH(D18,'App-Click Conversion by Rank'!$K$11:$S$11,0))</f>
        <v>#N/A</v>
      </c>
      <c r="G18" s="3" t="e">
        <f t="shared" si="2"/>
        <v>#N/A</v>
      </c>
      <c r="H18" s="5" t="e">
        <f t="shared" si="3"/>
        <v>#N/A</v>
      </c>
      <c r="I18">
        <f t="shared" si="4"/>
        <v>0</v>
      </c>
    </row>
    <row r="19" spans="4:9" x14ac:dyDescent="0.45">
      <c r="D19" t="str">
        <f t="shared" si="0"/>
        <v>&lt;=150</v>
      </c>
      <c r="E19">
        <f t="shared" si="1"/>
        <v>0</v>
      </c>
      <c r="F19" s="1" t="e">
        <f>INDEX('App-Click Conversion by Rank'!$K$12:$S$31,MATCH(E19,'App-Click Conversion by Rank'!$J$12:$J$31,0),MATCH(D19,'App-Click Conversion by Rank'!$K$11:$S$11,0))</f>
        <v>#N/A</v>
      </c>
      <c r="G19" s="3" t="e">
        <f t="shared" si="2"/>
        <v>#N/A</v>
      </c>
      <c r="H19" s="5" t="e">
        <f t="shared" si="3"/>
        <v>#N/A</v>
      </c>
      <c r="I19">
        <f t="shared" si="4"/>
        <v>0</v>
      </c>
    </row>
    <row r="20" spans="4:9" x14ac:dyDescent="0.45">
      <c r="D20" t="str">
        <f t="shared" si="0"/>
        <v>&lt;=150</v>
      </c>
      <c r="E20">
        <f t="shared" si="1"/>
        <v>0</v>
      </c>
      <c r="F20" s="1" t="e">
        <f>INDEX('App-Click Conversion by Rank'!$K$12:$S$31,MATCH(E20,'App-Click Conversion by Rank'!$J$12:$J$31,0),MATCH(D20,'App-Click Conversion by Rank'!$K$11:$S$11,0))</f>
        <v>#N/A</v>
      </c>
      <c r="G20" s="3" t="e">
        <f t="shared" si="2"/>
        <v>#N/A</v>
      </c>
      <c r="H20" s="5" t="e">
        <f t="shared" si="3"/>
        <v>#N/A</v>
      </c>
      <c r="I20">
        <f t="shared" si="4"/>
        <v>0</v>
      </c>
    </row>
    <row r="21" spans="4:9" x14ac:dyDescent="0.45">
      <c r="D21" t="str">
        <f t="shared" si="0"/>
        <v>&lt;=150</v>
      </c>
      <c r="E21">
        <f t="shared" si="1"/>
        <v>0</v>
      </c>
      <c r="F21" s="1" t="e">
        <f>INDEX('App-Click Conversion by Rank'!$K$12:$S$31,MATCH(E21,'App-Click Conversion by Rank'!$J$12:$J$31,0),MATCH(D21,'App-Click Conversion by Rank'!$K$11:$S$11,0))</f>
        <v>#N/A</v>
      </c>
      <c r="G21" s="3" t="e">
        <f t="shared" si="2"/>
        <v>#N/A</v>
      </c>
      <c r="H21" s="5" t="e">
        <f t="shared" si="3"/>
        <v>#N/A</v>
      </c>
      <c r="I21">
        <f t="shared" si="4"/>
        <v>0</v>
      </c>
    </row>
    <row r="22" spans="4:9" x14ac:dyDescent="0.45">
      <c r="D22" t="str">
        <f t="shared" si="0"/>
        <v>&lt;=150</v>
      </c>
      <c r="E22">
        <f t="shared" si="1"/>
        <v>0</v>
      </c>
      <c r="F22" s="1" t="e">
        <f>INDEX('App-Click Conversion by Rank'!$K$12:$S$31,MATCH(E22,'App-Click Conversion by Rank'!$J$12:$J$31,0),MATCH(D22,'App-Click Conversion by Rank'!$K$11:$S$11,0))</f>
        <v>#N/A</v>
      </c>
      <c r="G22" s="3" t="e">
        <f t="shared" si="2"/>
        <v>#N/A</v>
      </c>
      <c r="H22" s="5" t="e">
        <f t="shared" si="3"/>
        <v>#N/A</v>
      </c>
      <c r="I22">
        <f t="shared" si="4"/>
        <v>0</v>
      </c>
    </row>
    <row r="23" spans="4:9" x14ac:dyDescent="0.45">
      <c r="D23" t="str">
        <f t="shared" si="0"/>
        <v>&lt;=150</v>
      </c>
      <c r="E23">
        <f t="shared" si="1"/>
        <v>0</v>
      </c>
      <c r="F23" s="1" t="e">
        <f>INDEX('App-Click Conversion by Rank'!$K$12:$S$31,MATCH(E23,'App-Click Conversion by Rank'!$J$12:$J$31,0),MATCH(D23,'App-Click Conversion by Rank'!$K$11:$S$11,0))</f>
        <v>#N/A</v>
      </c>
      <c r="G23" s="3" t="e">
        <f t="shared" si="2"/>
        <v>#N/A</v>
      </c>
      <c r="H23" s="5" t="e">
        <f t="shared" si="3"/>
        <v>#N/A</v>
      </c>
      <c r="I23">
        <f t="shared" si="4"/>
        <v>0</v>
      </c>
    </row>
    <row r="24" spans="4:9" x14ac:dyDescent="0.45">
      <c r="D24" t="str">
        <f t="shared" si="0"/>
        <v>&lt;=150</v>
      </c>
      <c r="E24">
        <f t="shared" si="1"/>
        <v>0</v>
      </c>
      <c r="F24" s="1" t="e">
        <f>INDEX('App-Click Conversion by Rank'!$K$12:$S$31,MATCH(E24,'App-Click Conversion by Rank'!$J$12:$J$31,0),MATCH(D24,'App-Click Conversion by Rank'!$K$11:$S$11,0))</f>
        <v>#N/A</v>
      </c>
      <c r="G24" s="3" t="e">
        <f t="shared" si="2"/>
        <v>#N/A</v>
      </c>
      <c r="H24" s="5" t="e">
        <f t="shared" si="3"/>
        <v>#N/A</v>
      </c>
      <c r="I24">
        <f t="shared" si="4"/>
        <v>0</v>
      </c>
    </row>
    <row r="25" spans="4:9" x14ac:dyDescent="0.45">
      <c r="D25" t="str">
        <f t="shared" si="0"/>
        <v>&lt;=150</v>
      </c>
      <c r="E25">
        <f t="shared" si="1"/>
        <v>0</v>
      </c>
      <c r="F25" s="1" t="e">
        <f>INDEX('App-Click Conversion by Rank'!$K$12:$S$31,MATCH(E25,'App-Click Conversion by Rank'!$J$12:$J$31,0),MATCH(D25,'App-Click Conversion by Rank'!$K$11:$S$11,0))</f>
        <v>#N/A</v>
      </c>
      <c r="G25" s="3" t="e">
        <f t="shared" si="2"/>
        <v>#N/A</v>
      </c>
      <c r="H25" s="5" t="e">
        <f t="shared" si="3"/>
        <v>#N/A</v>
      </c>
      <c r="I25">
        <f t="shared" si="4"/>
        <v>0</v>
      </c>
    </row>
    <row r="26" spans="4:9" x14ac:dyDescent="0.45">
      <c r="D26" t="str">
        <f t="shared" si="0"/>
        <v>&lt;=150</v>
      </c>
      <c r="E26">
        <f t="shared" si="1"/>
        <v>0</v>
      </c>
      <c r="F26" s="1" t="e">
        <f>INDEX('App-Click Conversion by Rank'!$K$12:$S$31,MATCH(E26,'App-Click Conversion by Rank'!$J$12:$J$31,0),MATCH(D26,'App-Click Conversion by Rank'!$K$11:$S$11,0))</f>
        <v>#N/A</v>
      </c>
      <c r="G26" s="3" t="e">
        <f t="shared" si="2"/>
        <v>#N/A</v>
      </c>
      <c r="H26" s="5" t="e">
        <f t="shared" si="3"/>
        <v>#N/A</v>
      </c>
      <c r="I26">
        <f t="shared" si="4"/>
        <v>0</v>
      </c>
    </row>
    <row r="27" spans="4:9" x14ac:dyDescent="0.45">
      <c r="D27" t="str">
        <f t="shared" si="0"/>
        <v>&lt;=150</v>
      </c>
      <c r="E27">
        <f t="shared" si="1"/>
        <v>0</v>
      </c>
      <c r="F27" s="1" t="e">
        <f>INDEX('App-Click Conversion by Rank'!$K$12:$S$31,MATCH(E27,'App-Click Conversion by Rank'!$J$12:$J$31,0),MATCH(D27,'App-Click Conversion by Rank'!$K$11:$S$11,0))</f>
        <v>#N/A</v>
      </c>
      <c r="G27" s="3" t="e">
        <f t="shared" si="2"/>
        <v>#N/A</v>
      </c>
      <c r="H27" s="5" t="e">
        <f t="shared" si="3"/>
        <v>#N/A</v>
      </c>
      <c r="I27">
        <f t="shared" si="4"/>
        <v>0</v>
      </c>
    </row>
    <row r="28" spans="4:9" x14ac:dyDescent="0.45">
      <c r="D28" t="str">
        <f t="shared" si="0"/>
        <v>&lt;=150</v>
      </c>
      <c r="E28">
        <f t="shared" si="1"/>
        <v>0</v>
      </c>
      <c r="F28" s="1" t="e">
        <f>INDEX('App-Click Conversion by Rank'!$K$12:$S$31,MATCH(E28,'App-Click Conversion by Rank'!$J$12:$J$31,0),MATCH(D28,'App-Click Conversion by Rank'!$K$11:$S$11,0))</f>
        <v>#N/A</v>
      </c>
      <c r="G28" s="3" t="e">
        <f t="shared" si="2"/>
        <v>#N/A</v>
      </c>
      <c r="H28" s="5" t="e">
        <f t="shared" si="3"/>
        <v>#N/A</v>
      </c>
      <c r="I28">
        <f t="shared" si="4"/>
        <v>0</v>
      </c>
    </row>
    <row r="29" spans="4:9" x14ac:dyDescent="0.45">
      <c r="D29" t="str">
        <f t="shared" si="0"/>
        <v>&lt;=150</v>
      </c>
      <c r="E29">
        <f t="shared" si="1"/>
        <v>0</v>
      </c>
      <c r="F29" s="1" t="e">
        <f>INDEX('App-Click Conversion by Rank'!$K$12:$S$31,MATCH(E29,'App-Click Conversion by Rank'!$J$12:$J$31,0),MATCH(D29,'App-Click Conversion by Rank'!$K$11:$S$11,0))</f>
        <v>#N/A</v>
      </c>
      <c r="G29" s="3" t="e">
        <f t="shared" si="2"/>
        <v>#N/A</v>
      </c>
      <c r="H29" s="5" t="e">
        <f t="shared" si="3"/>
        <v>#N/A</v>
      </c>
      <c r="I29">
        <f t="shared" si="4"/>
        <v>0</v>
      </c>
    </row>
    <row r="30" spans="4:9" x14ac:dyDescent="0.45">
      <c r="D30" t="str">
        <f t="shared" si="0"/>
        <v>&lt;=150</v>
      </c>
      <c r="E30">
        <f t="shared" si="1"/>
        <v>0</v>
      </c>
      <c r="F30" s="1" t="e">
        <f>INDEX('App-Click Conversion by Rank'!$K$12:$S$31,MATCH(E30,'App-Click Conversion by Rank'!$J$12:$J$31,0),MATCH(D30,'App-Click Conversion by Rank'!$K$11:$S$11,0))</f>
        <v>#N/A</v>
      </c>
      <c r="G30" s="3" t="e">
        <f t="shared" si="2"/>
        <v>#N/A</v>
      </c>
      <c r="H30" s="5" t="e">
        <f t="shared" si="3"/>
        <v>#N/A</v>
      </c>
      <c r="I30">
        <f t="shared" si="4"/>
        <v>0</v>
      </c>
    </row>
    <row r="31" spans="4:9" x14ac:dyDescent="0.45">
      <c r="D31" t="str">
        <f t="shared" si="0"/>
        <v>&lt;=150</v>
      </c>
      <c r="E31">
        <f t="shared" si="1"/>
        <v>0</v>
      </c>
      <c r="F31" s="1" t="e">
        <f>INDEX('App-Click Conversion by Rank'!$K$12:$S$31,MATCH(E31,'App-Click Conversion by Rank'!$J$12:$J$31,0),MATCH(D31,'App-Click Conversion by Rank'!$K$11:$S$11,0))</f>
        <v>#N/A</v>
      </c>
      <c r="G31" s="3" t="e">
        <f t="shared" si="2"/>
        <v>#N/A</v>
      </c>
      <c r="H31" s="5" t="e">
        <f t="shared" si="3"/>
        <v>#N/A</v>
      </c>
      <c r="I31">
        <f t="shared" si="4"/>
        <v>0</v>
      </c>
    </row>
    <row r="32" spans="4:9" x14ac:dyDescent="0.45">
      <c r="D32" t="str">
        <f t="shared" si="0"/>
        <v>&lt;=150</v>
      </c>
      <c r="E32">
        <f t="shared" si="1"/>
        <v>0</v>
      </c>
      <c r="F32" s="1" t="e">
        <f>INDEX('App-Click Conversion by Rank'!$K$12:$S$31,MATCH(E32,'App-Click Conversion by Rank'!$J$12:$J$31,0),MATCH(D32,'App-Click Conversion by Rank'!$K$11:$S$11,0))</f>
        <v>#N/A</v>
      </c>
      <c r="G32" s="3" t="e">
        <f t="shared" si="2"/>
        <v>#N/A</v>
      </c>
      <c r="H32" s="5" t="e">
        <f t="shared" si="3"/>
        <v>#N/A</v>
      </c>
      <c r="I32">
        <f t="shared" si="4"/>
        <v>0</v>
      </c>
    </row>
    <row r="33" spans="4:9" x14ac:dyDescent="0.45">
      <c r="D33" t="str">
        <f t="shared" si="0"/>
        <v>&lt;=150</v>
      </c>
      <c r="E33">
        <f t="shared" si="1"/>
        <v>0</v>
      </c>
      <c r="F33" s="1" t="e">
        <f>INDEX('App-Click Conversion by Rank'!$K$12:$S$31,MATCH(E33,'App-Click Conversion by Rank'!$J$12:$J$31,0),MATCH(D33,'App-Click Conversion by Rank'!$K$11:$S$11,0))</f>
        <v>#N/A</v>
      </c>
      <c r="G33" s="3" t="e">
        <f t="shared" si="2"/>
        <v>#N/A</v>
      </c>
      <c r="H33" s="5" t="e">
        <f t="shared" si="3"/>
        <v>#N/A</v>
      </c>
      <c r="I33">
        <f t="shared" si="4"/>
        <v>0</v>
      </c>
    </row>
    <row r="34" spans="4:9" x14ac:dyDescent="0.45">
      <c r="D34" t="str">
        <f t="shared" si="0"/>
        <v>&lt;=150</v>
      </c>
      <c r="E34">
        <f t="shared" si="1"/>
        <v>0</v>
      </c>
      <c r="F34" s="1" t="e">
        <f>INDEX('App-Click Conversion by Rank'!$K$12:$S$31,MATCH(E34,'App-Click Conversion by Rank'!$J$12:$J$31,0),MATCH(D34,'App-Click Conversion by Rank'!$K$11:$S$11,0))</f>
        <v>#N/A</v>
      </c>
      <c r="G34" s="3" t="e">
        <f t="shared" si="2"/>
        <v>#N/A</v>
      </c>
      <c r="H34" s="5" t="e">
        <f t="shared" si="3"/>
        <v>#N/A</v>
      </c>
      <c r="I34">
        <f t="shared" si="4"/>
        <v>0</v>
      </c>
    </row>
    <row r="35" spans="4:9" x14ac:dyDescent="0.45">
      <c r="D35" t="str">
        <f t="shared" si="0"/>
        <v>&lt;=150</v>
      </c>
      <c r="E35">
        <f t="shared" si="1"/>
        <v>0</v>
      </c>
      <c r="F35" s="1" t="e">
        <f>INDEX('App-Click Conversion by Rank'!$K$12:$S$31,MATCH(E35,'App-Click Conversion by Rank'!$J$12:$J$31,0),MATCH(D35,'App-Click Conversion by Rank'!$K$11:$S$11,0))</f>
        <v>#N/A</v>
      </c>
      <c r="G35" s="3" t="e">
        <f t="shared" si="2"/>
        <v>#N/A</v>
      </c>
      <c r="H35" s="5" t="e">
        <f t="shared" si="3"/>
        <v>#N/A</v>
      </c>
      <c r="I35">
        <f t="shared" si="4"/>
        <v>0</v>
      </c>
    </row>
    <row r="36" spans="4:9" x14ac:dyDescent="0.45">
      <c r="D36" t="str">
        <f t="shared" si="0"/>
        <v>&lt;=150</v>
      </c>
      <c r="E36">
        <f t="shared" si="1"/>
        <v>0</v>
      </c>
      <c r="F36" s="1" t="e">
        <f>INDEX('App-Click Conversion by Rank'!$K$12:$S$31,MATCH(E36,'App-Click Conversion by Rank'!$J$12:$J$31,0),MATCH(D36,'App-Click Conversion by Rank'!$K$11:$S$11,0))</f>
        <v>#N/A</v>
      </c>
      <c r="G36" s="3" t="e">
        <f t="shared" si="2"/>
        <v>#N/A</v>
      </c>
      <c r="H36" s="5" t="e">
        <f t="shared" si="3"/>
        <v>#N/A</v>
      </c>
      <c r="I36">
        <f t="shared" si="4"/>
        <v>0</v>
      </c>
    </row>
    <row r="37" spans="4:9" x14ac:dyDescent="0.45">
      <c r="D37" t="str">
        <f t="shared" si="0"/>
        <v>&lt;=150</v>
      </c>
      <c r="E37">
        <f t="shared" si="1"/>
        <v>0</v>
      </c>
      <c r="F37" s="1" t="e">
        <f>INDEX('App-Click Conversion by Rank'!$K$12:$S$31,MATCH(E37,'App-Click Conversion by Rank'!$J$12:$J$31,0),MATCH(D37,'App-Click Conversion by Rank'!$K$11:$S$11,0))</f>
        <v>#N/A</v>
      </c>
      <c r="G37" s="3" t="e">
        <f t="shared" si="2"/>
        <v>#N/A</v>
      </c>
      <c r="H37" s="5" t="e">
        <f t="shared" si="3"/>
        <v>#N/A</v>
      </c>
      <c r="I37">
        <f t="shared" si="4"/>
        <v>0</v>
      </c>
    </row>
    <row r="38" spans="4:9" x14ac:dyDescent="0.45">
      <c r="D38" t="str">
        <f t="shared" si="0"/>
        <v>&lt;=150</v>
      </c>
      <c r="E38">
        <f t="shared" si="1"/>
        <v>0</v>
      </c>
      <c r="F38" s="1" t="e">
        <f>INDEX('App-Click Conversion by Rank'!$K$12:$S$31,MATCH(E38,'App-Click Conversion by Rank'!$J$12:$J$31,0),MATCH(D38,'App-Click Conversion by Rank'!$K$11:$S$11,0))</f>
        <v>#N/A</v>
      </c>
      <c r="G38" s="3" t="e">
        <f t="shared" si="2"/>
        <v>#N/A</v>
      </c>
      <c r="H38" s="5" t="e">
        <f t="shared" si="3"/>
        <v>#N/A</v>
      </c>
      <c r="I38">
        <f t="shared" si="4"/>
        <v>0</v>
      </c>
    </row>
    <row r="39" spans="4:9" x14ac:dyDescent="0.45">
      <c r="D39" t="str">
        <f t="shared" si="0"/>
        <v>&lt;=150</v>
      </c>
      <c r="E39">
        <f t="shared" si="1"/>
        <v>0</v>
      </c>
      <c r="F39" s="1" t="e">
        <f>INDEX('App-Click Conversion by Rank'!$K$12:$S$31,MATCH(E39,'App-Click Conversion by Rank'!$J$12:$J$31,0),MATCH(D39,'App-Click Conversion by Rank'!$K$11:$S$11,0))</f>
        <v>#N/A</v>
      </c>
      <c r="G39" s="3" t="e">
        <f t="shared" si="2"/>
        <v>#N/A</v>
      </c>
      <c r="H39" s="5" t="e">
        <f t="shared" si="3"/>
        <v>#N/A</v>
      </c>
      <c r="I39">
        <f t="shared" si="4"/>
        <v>0</v>
      </c>
    </row>
    <row r="40" spans="4:9" x14ac:dyDescent="0.45">
      <c r="D40" t="str">
        <f t="shared" si="0"/>
        <v>&lt;=150</v>
      </c>
      <c r="E40">
        <f t="shared" si="1"/>
        <v>0</v>
      </c>
      <c r="F40" s="1" t="e">
        <f>INDEX('App-Click Conversion by Rank'!$K$12:$S$31,MATCH(E40,'App-Click Conversion by Rank'!$J$12:$J$31,0),MATCH(D40,'App-Click Conversion by Rank'!$K$11:$S$11,0))</f>
        <v>#N/A</v>
      </c>
      <c r="G40" s="3" t="e">
        <f t="shared" si="2"/>
        <v>#N/A</v>
      </c>
      <c r="H40" s="5" t="e">
        <f t="shared" si="3"/>
        <v>#N/A</v>
      </c>
      <c r="I40">
        <f t="shared" si="4"/>
        <v>0</v>
      </c>
    </row>
    <row r="41" spans="4:9" x14ac:dyDescent="0.45">
      <c r="D41" t="str">
        <f t="shared" si="0"/>
        <v>&lt;=150</v>
      </c>
      <c r="E41">
        <f t="shared" si="1"/>
        <v>0</v>
      </c>
      <c r="F41" s="1" t="e">
        <f>INDEX('App-Click Conversion by Rank'!$K$12:$S$31,MATCH(E41,'App-Click Conversion by Rank'!$J$12:$J$31,0),MATCH(D41,'App-Click Conversion by Rank'!$K$11:$S$11,0))</f>
        <v>#N/A</v>
      </c>
      <c r="G41" s="3" t="e">
        <f t="shared" si="2"/>
        <v>#N/A</v>
      </c>
      <c r="H41" s="5" t="e">
        <f t="shared" si="3"/>
        <v>#N/A</v>
      </c>
      <c r="I41">
        <f t="shared" si="4"/>
        <v>0</v>
      </c>
    </row>
    <row r="42" spans="4:9" x14ac:dyDescent="0.45">
      <c r="D42" t="str">
        <f t="shared" si="0"/>
        <v>&lt;=150</v>
      </c>
      <c r="E42">
        <f t="shared" si="1"/>
        <v>0</v>
      </c>
      <c r="F42" s="1" t="e">
        <f>INDEX('App-Click Conversion by Rank'!$K$12:$S$31,MATCH(E42,'App-Click Conversion by Rank'!$J$12:$J$31,0),MATCH(D42,'App-Click Conversion by Rank'!$K$11:$S$11,0))</f>
        <v>#N/A</v>
      </c>
      <c r="G42" s="3" t="e">
        <f t="shared" si="2"/>
        <v>#N/A</v>
      </c>
      <c r="H42" s="5" t="e">
        <f t="shared" si="3"/>
        <v>#N/A</v>
      </c>
      <c r="I42">
        <f t="shared" si="4"/>
        <v>0</v>
      </c>
    </row>
    <row r="43" spans="4:9" x14ac:dyDescent="0.45">
      <c r="D43" t="str">
        <f t="shared" si="0"/>
        <v>&lt;=150</v>
      </c>
      <c r="E43">
        <f t="shared" si="1"/>
        <v>0</v>
      </c>
      <c r="F43" s="1" t="e">
        <f>INDEX('App-Click Conversion by Rank'!$K$12:$S$31,MATCH(E43,'App-Click Conversion by Rank'!$J$12:$J$31,0),MATCH(D43,'App-Click Conversion by Rank'!$K$11:$S$11,0))</f>
        <v>#N/A</v>
      </c>
      <c r="G43" s="3" t="e">
        <f t="shared" si="2"/>
        <v>#N/A</v>
      </c>
      <c r="H43" s="5" t="e">
        <f t="shared" si="3"/>
        <v>#N/A</v>
      </c>
      <c r="I43">
        <f t="shared" si="4"/>
        <v>0</v>
      </c>
    </row>
    <row r="44" spans="4:9" x14ac:dyDescent="0.45">
      <c r="D44" t="str">
        <f t="shared" si="0"/>
        <v>&lt;=150</v>
      </c>
      <c r="E44">
        <f t="shared" si="1"/>
        <v>0</v>
      </c>
      <c r="F44" s="1" t="e">
        <f>INDEX('App-Click Conversion by Rank'!$K$12:$S$31,MATCH(E44,'App-Click Conversion by Rank'!$J$12:$J$31,0),MATCH(D44,'App-Click Conversion by Rank'!$K$11:$S$11,0))</f>
        <v>#N/A</v>
      </c>
      <c r="G44" s="3" t="e">
        <f t="shared" si="2"/>
        <v>#N/A</v>
      </c>
      <c r="H44" s="5" t="e">
        <f t="shared" si="3"/>
        <v>#N/A</v>
      </c>
      <c r="I44">
        <f t="shared" si="4"/>
        <v>0</v>
      </c>
    </row>
    <row r="45" spans="4:9" x14ac:dyDescent="0.45">
      <c r="D45" t="str">
        <f t="shared" si="0"/>
        <v>&lt;=150</v>
      </c>
      <c r="E45">
        <f t="shared" si="1"/>
        <v>0</v>
      </c>
      <c r="F45" s="1" t="e">
        <f>INDEX('App-Click Conversion by Rank'!$K$12:$S$31,MATCH(E45,'App-Click Conversion by Rank'!$J$12:$J$31,0),MATCH(D45,'App-Click Conversion by Rank'!$K$11:$S$11,0))</f>
        <v>#N/A</v>
      </c>
      <c r="G45" s="3" t="e">
        <f t="shared" si="2"/>
        <v>#N/A</v>
      </c>
      <c r="H45" s="5" t="e">
        <f t="shared" si="3"/>
        <v>#N/A</v>
      </c>
      <c r="I45">
        <f t="shared" si="4"/>
        <v>0</v>
      </c>
    </row>
    <row r="46" spans="4:9" x14ac:dyDescent="0.45">
      <c r="D46" t="str">
        <f t="shared" si="0"/>
        <v>&lt;=150</v>
      </c>
      <c r="E46">
        <f t="shared" si="1"/>
        <v>0</v>
      </c>
      <c r="F46" s="1" t="e">
        <f>INDEX('App-Click Conversion by Rank'!$K$12:$S$31,MATCH(E46,'App-Click Conversion by Rank'!$J$12:$J$31,0),MATCH(D46,'App-Click Conversion by Rank'!$K$11:$S$11,0))</f>
        <v>#N/A</v>
      </c>
      <c r="G46" s="3" t="e">
        <f t="shared" si="2"/>
        <v>#N/A</v>
      </c>
      <c r="H46" s="5" t="e">
        <f t="shared" si="3"/>
        <v>#N/A</v>
      </c>
      <c r="I46">
        <f t="shared" si="4"/>
        <v>0</v>
      </c>
    </row>
    <row r="47" spans="4:9" x14ac:dyDescent="0.45">
      <c r="D47" t="str">
        <f t="shared" si="0"/>
        <v>&lt;=150</v>
      </c>
      <c r="E47">
        <f t="shared" si="1"/>
        <v>0</v>
      </c>
      <c r="F47" s="1" t="e">
        <f>INDEX('App-Click Conversion by Rank'!$K$12:$S$31,MATCH(E47,'App-Click Conversion by Rank'!$J$12:$J$31,0),MATCH(D47,'App-Click Conversion by Rank'!$K$11:$S$11,0))</f>
        <v>#N/A</v>
      </c>
      <c r="G47" s="3" t="e">
        <f t="shared" si="2"/>
        <v>#N/A</v>
      </c>
      <c r="H47" s="5" t="e">
        <f t="shared" si="3"/>
        <v>#N/A</v>
      </c>
      <c r="I47">
        <f t="shared" si="4"/>
        <v>0</v>
      </c>
    </row>
    <row r="48" spans="4:9" x14ac:dyDescent="0.45">
      <c r="D48" t="str">
        <f t="shared" si="0"/>
        <v>&lt;=150</v>
      </c>
      <c r="E48">
        <f t="shared" si="1"/>
        <v>0</v>
      </c>
      <c r="F48" s="1" t="e">
        <f>INDEX('App-Click Conversion by Rank'!$K$12:$S$31,MATCH(E48,'App-Click Conversion by Rank'!$J$12:$J$31,0),MATCH(D48,'App-Click Conversion by Rank'!$K$11:$S$11,0))</f>
        <v>#N/A</v>
      </c>
      <c r="G48" s="3" t="e">
        <f t="shared" si="2"/>
        <v>#N/A</v>
      </c>
      <c r="H48" s="5" t="e">
        <f t="shared" si="3"/>
        <v>#N/A</v>
      </c>
      <c r="I48">
        <f t="shared" si="4"/>
        <v>0</v>
      </c>
    </row>
    <row r="49" spans="4:9" x14ac:dyDescent="0.45">
      <c r="D49" t="str">
        <f t="shared" si="0"/>
        <v>&lt;=150</v>
      </c>
      <c r="E49">
        <f t="shared" si="1"/>
        <v>0</v>
      </c>
      <c r="F49" s="1" t="e">
        <f>INDEX('App-Click Conversion by Rank'!$K$12:$S$31,MATCH(E49,'App-Click Conversion by Rank'!$J$12:$J$31,0),MATCH(D49,'App-Click Conversion by Rank'!$K$11:$S$11,0))</f>
        <v>#N/A</v>
      </c>
      <c r="G49" s="3" t="e">
        <f t="shared" si="2"/>
        <v>#N/A</v>
      </c>
      <c r="H49" s="5" t="e">
        <f t="shared" si="3"/>
        <v>#N/A</v>
      </c>
      <c r="I49">
        <f t="shared" si="4"/>
        <v>0</v>
      </c>
    </row>
    <row r="50" spans="4:9" x14ac:dyDescent="0.45">
      <c r="D50" t="str">
        <f t="shared" si="0"/>
        <v>&lt;=150</v>
      </c>
      <c r="E50">
        <f t="shared" si="1"/>
        <v>0</v>
      </c>
      <c r="F50" s="1" t="e">
        <f>INDEX('App-Click Conversion by Rank'!$K$12:$S$31,MATCH(E50,'App-Click Conversion by Rank'!$J$12:$J$31,0),MATCH(D50,'App-Click Conversion by Rank'!$K$11:$S$11,0))</f>
        <v>#N/A</v>
      </c>
      <c r="G50" s="3" t="e">
        <f t="shared" si="2"/>
        <v>#N/A</v>
      </c>
      <c r="H50" s="5" t="e">
        <f t="shared" si="3"/>
        <v>#N/A</v>
      </c>
      <c r="I50">
        <f t="shared" si="4"/>
        <v>0</v>
      </c>
    </row>
    <row r="51" spans="4:9" x14ac:dyDescent="0.45">
      <c r="D51" t="str">
        <f t="shared" si="0"/>
        <v>&lt;=150</v>
      </c>
      <c r="E51">
        <f t="shared" si="1"/>
        <v>0</v>
      </c>
      <c r="F51" s="1" t="e">
        <f>INDEX('App-Click Conversion by Rank'!$K$12:$S$31,MATCH(E51,'App-Click Conversion by Rank'!$J$12:$J$31,0),MATCH(D51,'App-Click Conversion by Rank'!$K$11:$S$11,0))</f>
        <v>#N/A</v>
      </c>
      <c r="G51" s="3" t="e">
        <f t="shared" si="2"/>
        <v>#N/A</v>
      </c>
      <c r="H51" s="5" t="e">
        <f t="shared" si="3"/>
        <v>#N/A</v>
      </c>
      <c r="I51">
        <f t="shared" si="4"/>
        <v>0</v>
      </c>
    </row>
    <row r="52" spans="4:9" x14ac:dyDescent="0.45">
      <c r="D52" t="str">
        <f t="shared" si="0"/>
        <v>&lt;=150</v>
      </c>
      <c r="E52">
        <f t="shared" si="1"/>
        <v>0</v>
      </c>
      <c r="F52" s="1" t="e">
        <f>INDEX('App-Click Conversion by Rank'!$K$12:$S$31,MATCH(E52,'App-Click Conversion by Rank'!$J$12:$J$31,0),MATCH(D52,'App-Click Conversion by Rank'!$K$11:$S$11,0))</f>
        <v>#N/A</v>
      </c>
      <c r="G52" s="3" t="e">
        <f t="shared" si="2"/>
        <v>#N/A</v>
      </c>
      <c r="H52" s="5" t="e">
        <f t="shared" si="3"/>
        <v>#N/A</v>
      </c>
      <c r="I52">
        <f t="shared" si="4"/>
        <v>0</v>
      </c>
    </row>
    <row r="53" spans="4:9" x14ac:dyDescent="0.45">
      <c r="D53" t="str">
        <f t="shared" si="0"/>
        <v>&lt;=150</v>
      </c>
      <c r="E53">
        <f t="shared" si="1"/>
        <v>0</v>
      </c>
      <c r="F53" s="1" t="e">
        <f>INDEX('App-Click Conversion by Rank'!$K$12:$S$31,MATCH(E53,'App-Click Conversion by Rank'!$J$12:$J$31,0),MATCH(D53,'App-Click Conversion by Rank'!$K$11:$S$11,0))</f>
        <v>#N/A</v>
      </c>
      <c r="G53" s="3" t="e">
        <f t="shared" si="2"/>
        <v>#N/A</v>
      </c>
      <c r="H53" s="5" t="e">
        <f t="shared" si="3"/>
        <v>#N/A</v>
      </c>
      <c r="I53">
        <f t="shared" si="4"/>
        <v>0</v>
      </c>
    </row>
    <row r="54" spans="4:9" x14ac:dyDescent="0.45">
      <c r="D54" t="str">
        <f t="shared" si="0"/>
        <v>&lt;=150</v>
      </c>
      <c r="E54">
        <f t="shared" si="1"/>
        <v>0</v>
      </c>
      <c r="F54" s="1" t="e">
        <f>INDEX('App-Click Conversion by Rank'!$K$12:$S$31,MATCH(E54,'App-Click Conversion by Rank'!$J$12:$J$31,0),MATCH(D54,'App-Click Conversion by Rank'!$K$11:$S$11,0))</f>
        <v>#N/A</v>
      </c>
      <c r="G54" s="3" t="e">
        <f t="shared" si="2"/>
        <v>#N/A</v>
      </c>
      <c r="H54" s="5" t="e">
        <f t="shared" si="3"/>
        <v>#N/A</v>
      </c>
      <c r="I54">
        <f t="shared" si="4"/>
        <v>0</v>
      </c>
    </row>
    <row r="55" spans="4:9" x14ac:dyDescent="0.45">
      <c r="D55" t="str">
        <f t="shared" si="0"/>
        <v>&lt;=150</v>
      </c>
      <c r="E55">
        <f t="shared" si="1"/>
        <v>0</v>
      </c>
      <c r="F55" s="1" t="e">
        <f>INDEX('App-Click Conversion by Rank'!$K$12:$S$31,MATCH(E55,'App-Click Conversion by Rank'!$J$12:$J$31,0),MATCH(D55,'App-Click Conversion by Rank'!$K$11:$S$11,0))</f>
        <v>#N/A</v>
      </c>
      <c r="G55" s="3" t="e">
        <f t="shared" si="2"/>
        <v>#N/A</v>
      </c>
      <c r="H55" s="5" t="e">
        <f t="shared" si="3"/>
        <v>#N/A</v>
      </c>
      <c r="I55">
        <f t="shared" si="4"/>
        <v>0</v>
      </c>
    </row>
    <row r="56" spans="4:9" x14ac:dyDescent="0.45">
      <c r="D56" t="str">
        <f t="shared" si="0"/>
        <v>&lt;=150</v>
      </c>
      <c r="E56">
        <f t="shared" si="1"/>
        <v>0</v>
      </c>
      <c r="F56" s="1" t="e">
        <f>INDEX('App-Click Conversion by Rank'!$K$12:$S$31,MATCH(E56,'App-Click Conversion by Rank'!$J$12:$J$31,0),MATCH(D56,'App-Click Conversion by Rank'!$K$11:$S$11,0))</f>
        <v>#N/A</v>
      </c>
      <c r="G56" s="3" t="e">
        <f t="shared" si="2"/>
        <v>#N/A</v>
      </c>
      <c r="H56" s="5" t="e">
        <f t="shared" si="3"/>
        <v>#N/A</v>
      </c>
      <c r="I56">
        <f t="shared" si="4"/>
        <v>0</v>
      </c>
    </row>
    <row r="57" spans="4:9" x14ac:dyDescent="0.45">
      <c r="D57" t="str">
        <f t="shared" si="0"/>
        <v>&lt;=150</v>
      </c>
      <c r="E57">
        <f t="shared" si="1"/>
        <v>0</v>
      </c>
      <c r="F57" s="1" t="e">
        <f>INDEX('App-Click Conversion by Rank'!$K$12:$S$31,MATCH(E57,'App-Click Conversion by Rank'!$J$12:$J$31,0),MATCH(D57,'App-Click Conversion by Rank'!$K$11:$S$11,0))</f>
        <v>#N/A</v>
      </c>
      <c r="G57" s="3" t="e">
        <f t="shared" si="2"/>
        <v>#N/A</v>
      </c>
      <c r="H57" s="5" t="e">
        <f t="shared" si="3"/>
        <v>#N/A</v>
      </c>
      <c r="I57">
        <f t="shared" si="4"/>
        <v>0</v>
      </c>
    </row>
    <row r="58" spans="4:9" x14ac:dyDescent="0.45">
      <c r="D58" t="str">
        <f t="shared" si="0"/>
        <v>&lt;=150</v>
      </c>
      <c r="E58">
        <f t="shared" si="1"/>
        <v>0</v>
      </c>
      <c r="F58" s="1" t="e">
        <f>INDEX('App-Click Conversion by Rank'!$K$12:$S$31,MATCH(E58,'App-Click Conversion by Rank'!$J$12:$J$31,0),MATCH(D58,'App-Click Conversion by Rank'!$K$11:$S$11,0))</f>
        <v>#N/A</v>
      </c>
      <c r="G58" s="3" t="e">
        <f t="shared" si="2"/>
        <v>#N/A</v>
      </c>
      <c r="H58" s="5" t="e">
        <f t="shared" si="3"/>
        <v>#N/A</v>
      </c>
      <c r="I58">
        <f t="shared" si="4"/>
        <v>0</v>
      </c>
    </row>
    <row r="59" spans="4:9" x14ac:dyDescent="0.45">
      <c r="D59" t="str">
        <f t="shared" si="0"/>
        <v>&lt;=150</v>
      </c>
      <c r="E59">
        <f t="shared" si="1"/>
        <v>0</v>
      </c>
      <c r="F59" s="1" t="e">
        <f>INDEX('App-Click Conversion by Rank'!$K$12:$S$31,MATCH(E59,'App-Click Conversion by Rank'!$J$12:$J$31,0),MATCH(D59,'App-Click Conversion by Rank'!$K$11:$S$11,0))</f>
        <v>#N/A</v>
      </c>
      <c r="G59" s="3" t="e">
        <f t="shared" si="2"/>
        <v>#N/A</v>
      </c>
      <c r="H59" s="5" t="e">
        <f t="shared" si="3"/>
        <v>#N/A</v>
      </c>
      <c r="I59">
        <f t="shared" si="4"/>
        <v>0</v>
      </c>
    </row>
    <row r="60" spans="4:9" x14ac:dyDescent="0.45">
      <c r="D60" t="str">
        <f t="shared" si="0"/>
        <v>&lt;=150</v>
      </c>
      <c r="E60">
        <f t="shared" si="1"/>
        <v>0</v>
      </c>
      <c r="F60" s="1" t="e">
        <f>INDEX('App-Click Conversion by Rank'!$K$12:$S$31,MATCH(E60,'App-Click Conversion by Rank'!$J$12:$J$31,0),MATCH(D60,'App-Click Conversion by Rank'!$K$11:$S$11,0))</f>
        <v>#N/A</v>
      </c>
      <c r="G60" s="3" t="e">
        <f t="shared" si="2"/>
        <v>#N/A</v>
      </c>
      <c r="H60" s="5" t="e">
        <f t="shared" si="3"/>
        <v>#N/A</v>
      </c>
      <c r="I60">
        <f t="shared" si="4"/>
        <v>0</v>
      </c>
    </row>
    <row r="61" spans="4:9" x14ac:dyDescent="0.45">
      <c r="D61" t="str">
        <f t="shared" si="0"/>
        <v>&lt;=150</v>
      </c>
      <c r="E61">
        <f t="shared" si="1"/>
        <v>0</v>
      </c>
      <c r="F61" s="1" t="e">
        <f>INDEX('App-Click Conversion by Rank'!$K$12:$S$31,MATCH(E61,'App-Click Conversion by Rank'!$J$12:$J$31,0),MATCH(D61,'App-Click Conversion by Rank'!$K$11:$S$11,0))</f>
        <v>#N/A</v>
      </c>
      <c r="G61" s="3" t="e">
        <f t="shared" si="2"/>
        <v>#N/A</v>
      </c>
      <c r="H61" s="5" t="e">
        <f t="shared" si="3"/>
        <v>#N/A</v>
      </c>
      <c r="I61">
        <f t="shared" si="4"/>
        <v>0</v>
      </c>
    </row>
    <row r="62" spans="4:9" x14ac:dyDescent="0.45">
      <c r="D62" t="str">
        <f t="shared" si="0"/>
        <v>&lt;=150</v>
      </c>
      <c r="E62">
        <f t="shared" si="1"/>
        <v>0</v>
      </c>
      <c r="F62" s="1" t="e">
        <f>INDEX('App-Click Conversion by Rank'!$K$12:$S$31,MATCH(E62,'App-Click Conversion by Rank'!$J$12:$J$31,0),MATCH(D62,'App-Click Conversion by Rank'!$K$11:$S$11,0))</f>
        <v>#N/A</v>
      </c>
      <c r="G62" s="3" t="e">
        <f t="shared" si="2"/>
        <v>#N/A</v>
      </c>
      <c r="H62" s="5" t="e">
        <f t="shared" si="3"/>
        <v>#N/A</v>
      </c>
      <c r="I62">
        <f t="shared" si="4"/>
        <v>0</v>
      </c>
    </row>
    <row r="63" spans="4:9" x14ac:dyDescent="0.45">
      <c r="D63" t="str">
        <f t="shared" si="0"/>
        <v>&lt;=150</v>
      </c>
      <c r="E63">
        <f t="shared" si="1"/>
        <v>0</v>
      </c>
      <c r="F63" s="1" t="e">
        <f>INDEX('App-Click Conversion by Rank'!$K$12:$S$31,MATCH(E63,'App-Click Conversion by Rank'!$J$12:$J$31,0),MATCH(D63,'App-Click Conversion by Rank'!$K$11:$S$11,0))</f>
        <v>#N/A</v>
      </c>
      <c r="G63" s="3" t="e">
        <f t="shared" si="2"/>
        <v>#N/A</v>
      </c>
      <c r="H63" s="5" t="e">
        <f t="shared" si="3"/>
        <v>#N/A</v>
      </c>
      <c r="I63">
        <f t="shared" si="4"/>
        <v>0</v>
      </c>
    </row>
    <row r="64" spans="4:9" x14ac:dyDescent="0.45">
      <c r="D64" t="str">
        <f t="shared" si="0"/>
        <v>&lt;=150</v>
      </c>
      <c r="E64">
        <f t="shared" si="1"/>
        <v>0</v>
      </c>
      <c r="F64" s="1" t="e">
        <f>INDEX('App-Click Conversion by Rank'!$K$12:$S$31,MATCH(E64,'App-Click Conversion by Rank'!$J$12:$J$31,0),MATCH(D64,'App-Click Conversion by Rank'!$K$11:$S$11,0))</f>
        <v>#N/A</v>
      </c>
      <c r="G64" s="3" t="e">
        <f t="shared" si="2"/>
        <v>#N/A</v>
      </c>
      <c r="H64" s="5" t="e">
        <f t="shared" si="3"/>
        <v>#N/A</v>
      </c>
      <c r="I64">
        <f t="shared" si="4"/>
        <v>0</v>
      </c>
    </row>
    <row r="65" spans="4:9" x14ac:dyDescent="0.45">
      <c r="D65" t="str">
        <f t="shared" si="0"/>
        <v>&lt;=150</v>
      </c>
      <c r="E65">
        <f t="shared" si="1"/>
        <v>0</v>
      </c>
      <c r="F65" s="1" t="e">
        <f>INDEX('App-Click Conversion by Rank'!$K$12:$S$31,MATCH(E65,'App-Click Conversion by Rank'!$J$12:$J$31,0),MATCH(D65,'App-Click Conversion by Rank'!$K$11:$S$11,0))</f>
        <v>#N/A</v>
      </c>
      <c r="G65" s="3" t="e">
        <f t="shared" si="2"/>
        <v>#N/A</v>
      </c>
      <c r="H65" s="5" t="e">
        <f t="shared" si="3"/>
        <v>#N/A</v>
      </c>
      <c r="I65">
        <f t="shared" si="4"/>
        <v>0</v>
      </c>
    </row>
    <row r="66" spans="4:9" x14ac:dyDescent="0.45">
      <c r="D66" t="str">
        <f t="shared" si="0"/>
        <v>&lt;=150</v>
      </c>
      <c r="E66">
        <f t="shared" si="1"/>
        <v>0</v>
      </c>
      <c r="F66" s="1" t="e">
        <f>INDEX('App-Click Conversion by Rank'!$K$12:$S$31,MATCH(E66,'App-Click Conversion by Rank'!$J$12:$J$31,0),MATCH(D66,'App-Click Conversion by Rank'!$K$11:$S$11,0))</f>
        <v>#N/A</v>
      </c>
      <c r="G66" s="3" t="e">
        <f t="shared" si="2"/>
        <v>#N/A</v>
      </c>
      <c r="H66" s="5" t="e">
        <f t="shared" si="3"/>
        <v>#N/A</v>
      </c>
      <c r="I66">
        <f t="shared" si="4"/>
        <v>0</v>
      </c>
    </row>
    <row r="67" spans="4:9" x14ac:dyDescent="0.45">
      <c r="D67" t="str">
        <f t="shared" ref="D67:D130" si="5">IF(B67&lt;=150,"&lt;=150",IF(B67&gt;500,"501+",B67))</f>
        <v>&lt;=150</v>
      </c>
      <c r="E67">
        <f t="shared" ref="E67:E130" si="6">IF(A67&gt;=20,"20+",A67)</f>
        <v>0</v>
      </c>
      <c r="F67" s="1" t="e">
        <f>INDEX('App-Click Conversion by Rank'!$K$12:$S$31,MATCH(E67,'App-Click Conversion by Rank'!$J$12:$J$31,0),MATCH(D67,'App-Click Conversion by Rank'!$K$11:$S$11,0))</f>
        <v>#N/A</v>
      </c>
      <c r="G67" s="3" t="e">
        <f t="shared" ref="G67:G130" si="7">C67*F67</f>
        <v>#N/A</v>
      </c>
      <c r="H67" s="5" t="e">
        <f t="shared" ref="H67:H130" si="8">G67*A67</f>
        <v>#N/A</v>
      </c>
      <c r="I67">
        <f t="shared" ref="I67:I130" si="9">C67*A67</f>
        <v>0</v>
      </c>
    </row>
    <row r="68" spans="4:9" x14ac:dyDescent="0.45">
      <c r="D68" t="str">
        <f t="shared" si="5"/>
        <v>&lt;=150</v>
      </c>
      <c r="E68">
        <f t="shared" si="6"/>
        <v>0</v>
      </c>
      <c r="F68" s="1" t="e">
        <f>INDEX('App-Click Conversion by Rank'!$K$12:$S$31,MATCH(E68,'App-Click Conversion by Rank'!$J$12:$J$31,0),MATCH(D68,'App-Click Conversion by Rank'!$K$11:$S$11,0))</f>
        <v>#N/A</v>
      </c>
      <c r="G68" s="3" t="e">
        <f t="shared" si="7"/>
        <v>#N/A</v>
      </c>
      <c r="H68" s="5" t="e">
        <f t="shared" si="8"/>
        <v>#N/A</v>
      </c>
      <c r="I68">
        <f t="shared" si="9"/>
        <v>0</v>
      </c>
    </row>
    <row r="69" spans="4:9" x14ac:dyDescent="0.45">
      <c r="D69" t="str">
        <f t="shared" si="5"/>
        <v>&lt;=150</v>
      </c>
      <c r="E69">
        <f t="shared" si="6"/>
        <v>0</v>
      </c>
      <c r="F69" s="1" t="e">
        <f>INDEX('App-Click Conversion by Rank'!$K$12:$S$31,MATCH(E69,'App-Click Conversion by Rank'!$J$12:$J$31,0),MATCH(D69,'App-Click Conversion by Rank'!$K$11:$S$11,0))</f>
        <v>#N/A</v>
      </c>
      <c r="G69" s="3" t="e">
        <f t="shared" si="7"/>
        <v>#N/A</v>
      </c>
      <c r="H69" s="5" t="e">
        <f t="shared" si="8"/>
        <v>#N/A</v>
      </c>
      <c r="I69">
        <f t="shared" si="9"/>
        <v>0</v>
      </c>
    </row>
    <row r="70" spans="4:9" x14ac:dyDescent="0.45">
      <c r="D70" t="str">
        <f t="shared" si="5"/>
        <v>&lt;=150</v>
      </c>
      <c r="E70">
        <f t="shared" si="6"/>
        <v>0</v>
      </c>
      <c r="F70" s="1" t="e">
        <f>INDEX('App-Click Conversion by Rank'!$K$12:$S$31,MATCH(E70,'App-Click Conversion by Rank'!$J$12:$J$31,0),MATCH(D70,'App-Click Conversion by Rank'!$K$11:$S$11,0))</f>
        <v>#N/A</v>
      </c>
      <c r="G70" s="3" t="e">
        <f t="shared" si="7"/>
        <v>#N/A</v>
      </c>
      <c r="H70" s="5" t="e">
        <f t="shared" si="8"/>
        <v>#N/A</v>
      </c>
      <c r="I70">
        <f t="shared" si="9"/>
        <v>0</v>
      </c>
    </row>
    <row r="71" spans="4:9" x14ac:dyDescent="0.45">
      <c r="D71" t="str">
        <f t="shared" si="5"/>
        <v>&lt;=150</v>
      </c>
      <c r="E71">
        <f t="shared" si="6"/>
        <v>0</v>
      </c>
      <c r="F71" s="1" t="e">
        <f>INDEX('App-Click Conversion by Rank'!$K$12:$S$31,MATCH(E71,'App-Click Conversion by Rank'!$J$12:$J$31,0),MATCH(D71,'App-Click Conversion by Rank'!$K$11:$S$11,0))</f>
        <v>#N/A</v>
      </c>
      <c r="G71" s="3" t="e">
        <f t="shared" si="7"/>
        <v>#N/A</v>
      </c>
      <c r="H71" s="5" t="e">
        <f t="shared" si="8"/>
        <v>#N/A</v>
      </c>
      <c r="I71">
        <f t="shared" si="9"/>
        <v>0</v>
      </c>
    </row>
    <row r="72" spans="4:9" x14ac:dyDescent="0.45">
      <c r="D72" t="str">
        <f t="shared" si="5"/>
        <v>&lt;=150</v>
      </c>
      <c r="E72">
        <f t="shared" si="6"/>
        <v>0</v>
      </c>
      <c r="F72" s="1" t="e">
        <f>INDEX('App-Click Conversion by Rank'!$K$12:$S$31,MATCH(E72,'App-Click Conversion by Rank'!$J$12:$J$31,0),MATCH(D72,'App-Click Conversion by Rank'!$K$11:$S$11,0))</f>
        <v>#N/A</v>
      </c>
      <c r="G72" s="3" t="e">
        <f t="shared" si="7"/>
        <v>#N/A</v>
      </c>
      <c r="H72" s="5" t="e">
        <f t="shared" si="8"/>
        <v>#N/A</v>
      </c>
      <c r="I72">
        <f t="shared" si="9"/>
        <v>0</v>
      </c>
    </row>
    <row r="73" spans="4:9" x14ac:dyDescent="0.45">
      <c r="D73" t="str">
        <f t="shared" si="5"/>
        <v>&lt;=150</v>
      </c>
      <c r="E73">
        <f t="shared" si="6"/>
        <v>0</v>
      </c>
      <c r="F73" s="1" t="e">
        <f>INDEX('App-Click Conversion by Rank'!$K$12:$S$31,MATCH(E73,'App-Click Conversion by Rank'!$J$12:$J$31,0),MATCH(D73,'App-Click Conversion by Rank'!$K$11:$S$11,0))</f>
        <v>#N/A</v>
      </c>
      <c r="G73" s="3" t="e">
        <f t="shared" si="7"/>
        <v>#N/A</v>
      </c>
      <c r="H73" s="5" t="e">
        <f t="shared" si="8"/>
        <v>#N/A</v>
      </c>
      <c r="I73">
        <f t="shared" si="9"/>
        <v>0</v>
      </c>
    </row>
    <row r="74" spans="4:9" x14ac:dyDescent="0.45">
      <c r="D74" t="str">
        <f t="shared" si="5"/>
        <v>&lt;=150</v>
      </c>
      <c r="E74">
        <f t="shared" si="6"/>
        <v>0</v>
      </c>
      <c r="F74" s="1" t="e">
        <f>INDEX('App-Click Conversion by Rank'!$K$12:$S$31,MATCH(E74,'App-Click Conversion by Rank'!$J$12:$J$31,0),MATCH(D74,'App-Click Conversion by Rank'!$K$11:$S$11,0))</f>
        <v>#N/A</v>
      </c>
      <c r="G74" s="3" t="e">
        <f t="shared" si="7"/>
        <v>#N/A</v>
      </c>
      <c r="H74" s="5" t="e">
        <f t="shared" si="8"/>
        <v>#N/A</v>
      </c>
      <c r="I74">
        <f t="shared" si="9"/>
        <v>0</v>
      </c>
    </row>
    <row r="75" spans="4:9" x14ac:dyDescent="0.45">
      <c r="D75" t="str">
        <f t="shared" si="5"/>
        <v>&lt;=150</v>
      </c>
      <c r="E75">
        <f t="shared" si="6"/>
        <v>0</v>
      </c>
      <c r="F75" s="1" t="e">
        <f>INDEX('App-Click Conversion by Rank'!$K$12:$S$31,MATCH(E75,'App-Click Conversion by Rank'!$J$12:$J$31,0),MATCH(D75,'App-Click Conversion by Rank'!$K$11:$S$11,0))</f>
        <v>#N/A</v>
      </c>
      <c r="G75" s="3" t="e">
        <f t="shared" si="7"/>
        <v>#N/A</v>
      </c>
      <c r="H75" s="5" t="e">
        <f t="shared" si="8"/>
        <v>#N/A</v>
      </c>
      <c r="I75">
        <f t="shared" si="9"/>
        <v>0</v>
      </c>
    </row>
    <row r="76" spans="4:9" x14ac:dyDescent="0.45">
      <c r="D76" t="str">
        <f t="shared" si="5"/>
        <v>&lt;=150</v>
      </c>
      <c r="E76">
        <f t="shared" si="6"/>
        <v>0</v>
      </c>
      <c r="F76" s="1" t="e">
        <f>INDEX('App-Click Conversion by Rank'!$K$12:$S$31,MATCH(E76,'App-Click Conversion by Rank'!$J$12:$J$31,0),MATCH(D76,'App-Click Conversion by Rank'!$K$11:$S$11,0))</f>
        <v>#N/A</v>
      </c>
      <c r="G76" s="3" t="e">
        <f t="shared" si="7"/>
        <v>#N/A</v>
      </c>
      <c r="H76" s="5" t="e">
        <f t="shared" si="8"/>
        <v>#N/A</v>
      </c>
      <c r="I76">
        <f t="shared" si="9"/>
        <v>0</v>
      </c>
    </row>
    <row r="77" spans="4:9" x14ac:dyDescent="0.45">
      <c r="D77" t="str">
        <f t="shared" si="5"/>
        <v>&lt;=150</v>
      </c>
      <c r="E77">
        <f t="shared" si="6"/>
        <v>0</v>
      </c>
      <c r="F77" s="1" t="e">
        <f>INDEX('App-Click Conversion by Rank'!$K$12:$S$31,MATCH(E77,'App-Click Conversion by Rank'!$J$12:$J$31,0),MATCH(D77,'App-Click Conversion by Rank'!$K$11:$S$11,0))</f>
        <v>#N/A</v>
      </c>
      <c r="G77" s="3" t="e">
        <f t="shared" si="7"/>
        <v>#N/A</v>
      </c>
      <c r="H77" s="5" t="e">
        <f t="shared" si="8"/>
        <v>#N/A</v>
      </c>
      <c r="I77">
        <f t="shared" si="9"/>
        <v>0</v>
      </c>
    </row>
    <row r="78" spans="4:9" x14ac:dyDescent="0.45">
      <c r="D78" t="str">
        <f t="shared" si="5"/>
        <v>&lt;=150</v>
      </c>
      <c r="E78">
        <f t="shared" si="6"/>
        <v>0</v>
      </c>
      <c r="F78" s="1" t="e">
        <f>INDEX('App-Click Conversion by Rank'!$K$12:$S$31,MATCH(E78,'App-Click Conversion by Rank'!$J$12:$J$31,0),MATCH(D78,'App-Click Conversion by Rank'!$K$11:$S$11,0))</f>
        <v>#N/A</v>
      </c>
      <c r="G78" s="3" t="e">
        <f t="shared" si="7"/>
        <v>#N/A</v>
      </c>
      <c r="H78" s="5" t="e">
        <f t="shared" si="8"/>
        <v>#N/A</v>
      </c>
      <c r="I78">
        <f t="shared" si="9"/>
        <v>0</v>
      </c>
    </row>
    <row r="79" spans="4:9" x14ac:dyDescent="0.45">
      <c r="D79" t="str">
        <f t="shared" si="5"/>
        <v>&lt;=150</v>
      </c>
      <c r="E79">
        <f t="shared" si="6"/>
        <v>0</v>
      </c>
      <c r="F79" s="1" t="e">
        <f>INDEX('App-Click Conversion by Rank'!$K$12:$S$31,MATCH(E79,'App-Click Conversion by Rank'!$J$12:$J$31,0),MATCH(D79,'App-Click Conversion by Rank'!$K$11:$S$11,0))</f>
        <v>#N/A</v>
      </c>
      <c r="G79" s="3" t="e">
        <f t="shared" si="7"/>
        <v>#N/A</v>
      </c>
      <c r="H79" s="5" t="e">
        <f t="shared" si="8"/>
        <v>#N/A</v>
      </c>
      <c r="I79">
        <f t="shared" si="9"/>
        <v>0</v>
      </c>
    </row>
    <row r="80" spans="4:9" x14ac:dyDescent="0.45">
      <c r="D80" t="str">
        <f t="shared" si="5"/>
        <v>&lt;=150</v>
      </c>
      <c r="E80">
        <f t="shared" si="6"/>
        <v>0</v>
      </c>
      <c r="F80" s="1" t="e">
        <f>INDEX('App-Click Conversion by Rank'!$K$12:$S$31,MATCH(E80,'App-Click Conversion by Rank'!$J$12:$J$31,0),MATCH(D80,'App-Click Conversion by Rank'!$K$11:$S$11,0))</f>
        <v>#N/A</v>
      </c>
      <c r="G80" s="3" t="e">
        <f t="shared" si="7"/>
        <v>#N/A</v>
      </c>
      <c r="H80" s="5" t="e">
        <f t="shared" si="8"/>
        <v>#N/A</v>
      </c>
      <c r="I80">
        <f t="shared" si="9"/>
        <v>0</v>
      </c>
    </row>
    <row r="81" spans="4:9" x14ac:dyDescent="0.45">
      <c r="D81" t="str">
        <f t="shared" si="5"/>
        <v>&lt;=150</v>
      </c>
      <c r="E81">
        <f t="shared" si="6"/>
        <v>0</v>
      </c>
      <c r="F81" s="1" t="e">
        <f>INDEX('App-Click Conversion by Rank'!$K$12:$S$31,MATCH(E81,'App-Click Conversion by Rank'!$J$12:$J$31,0),MATCH(D81,'App-Click Conversion by Rank'!$K$11:$S$11,0))</f>
        <v>#N/A</v>
      </c>
      <c r="G81" s="3" t="e">
        <f t="shared" si="7"/>
        <v>#N/A</v>
      </c>
      <c r="H81" s="5" t="e">
        <f t="shared" si="8"/>
        <v>#N/A</v>
      </c>
      <c r="I81">
        <f t="shared" si="9"/>
        <v>0</v>
      </c>
    </row>
    <row r="82" spans="4:9" x14ac:dyDescent="0.45">
      <c r="D82" t="str">
        <f t="shared" si="5"/>
        <v>&lt;=150</v>
      </c>
      <c r="E82">
        <f t="shared" si="6"/>
        <v>0</v>
      </c>
      <c r="F82" s="1" t="e">
        <f>INDEX('App-Click Conversion by Rank'!$K$12:$S$31,MATCH(E82,'App-Click Conversion by Rank'!$J$12:$J$31,0),MATCH(D82,'App-Click Conversion by Rank'!$K$11:$S$11,0))</f>
        <v>#N/A</v>
      </c>
      <c r="G82" s="3" t="e">
        <f t="shared" si="7"/>
        <v>#N/A</v>
      </c>
      <c r="H82" s="5" t="e">
        <f t="shared" si="8"/>
        <v>#N/A</v>
      </c>
      <c r="I82">
        <f t="shared" si="9"/>
        <v>0</v>
      </c>
    </row>
    <row r="83" spans="4:9" x14ac:dyDescent="0.45">
      <c r="D83" t="str">
        <f t="shared" si="5"/>
        <v>&lt;=150</v>
      </c>
      <c r="E83">
        <f t="shared" si="6"/>
        <v>0</v>
      </c>
      <c r="F83" s="1" t="e">
        <f>INDEX('App-Click Conversion by Rank'!$K$12:$S$31,MATCH(E83,'App-Click Conversion by Rank'!$J$12:$J$31,0),MATCH(D83,'App-Click Conversion by Rank'!$K$11:$S$11,0))</f>
        <v>#N/A</v>
      </c>
      <c r="G83" s="3" t="e">
        <f t="shared" si="7"/>
        <v>#N/A</v>
      </c>
      <c r="H83" s="5" t="e">
        <f t="shared" si="8"/>
        <v>#N/A</v>
      </c>
      <c r="I83">
        <f t="shared" si="9"/>
        <v>0</v>
      </c>
    </row>
    <row r="84" spans="4:9" x14ac:dyDescent="0.45">
      <c r="D84" t="str">
        <f t="shared" si="5"/>
        <v>&lt;=150</v>
      </c>
      <c r="E84">
        <f t="shared" si="6"/>
        <v>0</v>
      </c>
      <c r="F84" s="1" t="e">
        <f>INDEX('App-Click Conversion by Rank'!$K$12:$S$31,MATCH(E84,'App-Click Conversion by Rank'!$J$12:$J$31,0),MATCH(D84,'App-Click Conversion by Rank'!$K$11:$S$11,0))</f>
        <v>#N/A</v>
      </c>
      <c r="G84" s="3" t="e">
        <f t="shared" si="7"/>
        <v>#N/A</v>
      </c>
      <c r="H84" s="5" t="e">
        <f t="shared" si="8"/>
        <v>#N/A</v>
      </c>
      <c r="I84">
        <f t="shared" si="9"/>
        <v>0</v>
      </c>
    </row>
    <row r="85" spans="4:9" x14ac:dyDescent="0.45">
      <c r="D85" t="str">
        <f t="shared" si="5"/>
        <v>&lt;=150</v>
      </c>
      <c r="E85">
        <f t="shared" si="6"/>
        <v>0</v>
      </c>
      <c r="F85" s="1" t="e">
        <f>INDEX('App-Click Conversion by Rank'!$K$12:$S$31,MATCH(E85,'App-Click Conversion by Rank'!$J$12:$J$31,0),MATCH(D85,'App-Click Conversion by Rank'!$K$11:$S$11,0))</f>
        <v>#N/A</v>
      </c>
      <c r="G85" s="3" t="e">
        <f t="shared" si="7"/>
        <v>#N/A</v>
      </c>
      <c r="H85" s="5" t="e">
        <f t="shared" si="8"/>
        <v>#N/A</v>
      </c>
      <c r="I85">
        <f t="shared" si="9"/>
        <v>0</v>
      </c>
    </row>
    <row r="86" spans="4:9" x14ac:dyDescent="0.45">
      <c r="D86" t="str">
        <f t="shared" si="5"/>
        <v>&lt;=150</v>
      </c>
      <c r="E86">
        <f t="shared" si="6"/>
        <v>0</v>
      </c>
      <c r="F86" s="1" t="e">
        <f>INDEX('App-Click Conversion by Rank'!$K$12:$S$31,MATCH(E86,'App-Click Conversion by Rank'!$J$12:$J$31,0),MATCH(D86,'App-Click Conversion by Rank'!$K$11:$S$11,0))</f>
        <v>#N/A</v>
      </c>
      <c r="G86" s="3" t="e">
        <f t="shared" si="7"/>
        <v>#N/A</v>
      </c>
      <c r="H86" s="5" t="e">
        <f t="shared" si="8"/>
        <v>#N/A</v>
      </c>
      <c r="I86">
        <f t="shared" si="9"/>
        <v>0</v>
      </c>
    </row>
    <row r="87" spans="4:9" x14ac:dyDescent="0.45">
      <c r="D87" t="str">
        <f t="shared" si="5"/>
        <v>&lt;=150</v>
      </c>
      <c r="E87">
        <f t="shared" si="6"/>
        <v>0</v>
      </c>
      <c r="F87" s="1" t="e">
        <f>INDEX('App-Click Conversion by Rank'!$K$12:$S$31,MATCH(E87,'App-Click Conversion by Rank'!$J$12:$J$31,0),MATCH(D87,'App-Click Conversion by Rank'!$K$11:$S$11,0))</f>
        <v>#N/A</v>
      </c>
      <c r="G87" s="3" t="e">
        <f t="shared" si="7"/>
        <v>#N/A</v>
      </c>
      <c r="H87" s="5" t="e">
        <f t="shared" si="8"/>
        <v>#N/A</v>
      </c>
      <c r="I87">
        <f t="shared" si="9"/>
        <v>0</v>
      </c>
    </row>
    <row r="88" spans="4:9" x14ac:dyDescent="0.45">
      <c r="D88" t="str">
        <f t="shared" si="5"/>
        <v>&lt;=150</v>
      </c>
      <c r="E88">
        <f t="shared" si="6"/>
        <v>0</v>
      </c>
      <c r="F88" s="1" t="e">
        <f>INDEX('App-Click Conversion by Rank'!$K$12:$S$31,MATCH(E88,'App-Click Conversion by Rank'!$J$12:$J$31,0),MATCH(D88,'App-Click Conversion by Rank'!$K$11:$S$11,0))</f>
        <v>#N/A</v>
      </c>
      <c r="G88" s="3" t="e">
        <f t="shared" si="7"/>
        <v>#N/A</v>
      </c>
      <c r="H88" s="5" t="e">
        <f t="shared" si="8"/>
        <v>#N/A</v>
      </c>
      <c r="I88">
        <f t="shared" si="9"/>
        <v>0</v>
      </c>
    </row>
    <row r="89" spans="4:9" x14ac:dyDescent="0.45">
      <c r="D89" t="str">
        <f t="shared" si="5"/>
        <v>&lt;=150</v>
      </c>
      <c r="E89">
        <f t="shared" si="6"/>
        <v>0</v>
      </c>
      <c r="F89" s="1" t="e">
        <f>INDEX('App-Click Conversion by Rank'!$K$12:$S$31,MATCH(E89,'App-Click Conversion by Rank'!$J$12:$J$31,0),MATCH(D89,'App-Click Conversion by Rank'!$K$11:$S$11,0))</f>
        <v>#N/A</v>
      </c>
      <c r="G89" s="3" t="e">
        <f t="shared" si="7"/>
        <v>#N/A</v>
      </c>
      <c r="H89" s="5" t="e">
        <f t="shared" si="8"/>
        <v>#N/A</v>
      </c>
      <c r="I89">
        <f t="shared" si="9"/>
        <v>0</v>
      </c>
    </row>
    <row r="90" spans="4:9" x14ac:dyDescent="0.45">
      <c r="D90" t="str">
        <f t="shared" si="5"/>
        <v>&lt;=150</v>
      </c>
      <c r="E90">
        <f t="shared" si="6"/>
        <v>0</v>
      </c>
      <c r="F90" s="1" t="e">
        <f>INDEX('App-Click Conversion by Rank'!$K$12:$S$31,MATCH(E90,'App-Click Conversion by Rank'!$J$12:$J$31,0),MATCH(D90,'App-Click Conversion by Rank'!$K$11:$S$11,0))</f>
        <v>#N/A</v>
      </c>
      <c r="G90" s="3" t="e">
        <f t="shared" si="7"/>
        <v>#N/A</v>
      </c>
      <c r="H90" s="5" t="e">
        <f t="shared" si="8"/>
        <v>#N/A</v>
      </c>
      <c r="I90">
        <f t="shared" si="9"/>
        <v>0</v>
      </c>
    </row>
    <row r="91" spans="4:9" x14ac:dyDescent="0.45">
      <c r="D91" t="str">
        <f t="shared" si="5"/>
        <v>&lt;=150</v>
      </c>
      <c r="E91">
        <f t="shared" si="6"/>
        <v>0</v>
      </c>
      <c r="F91" s="1" t="e">
        <f>INDEX('App-Click Conversion by Rank'!$K$12:$S$31,MATCH(E91,'App-Click Conversion by Rank'!$J$12:$J$31,0),MATCH(D91,'App-Click Conversion by Rank'!$K$11:$S$11,0))</f>
        <v>#N/A</v>
      </c>
      <c r="G91" s="3" t="e">
        <f t="shared" si="7"/>
        <v>#N/A</v>
      </c>
      <c r="H91" s="5" t="e">
        <f t="shared" si="8"/>
        <v>#N/A</v>
      </c>
      <c r="I91">
        <f t="shared" si="9"/>
        <v>0</v>
      </c>
    </row>
    <row r="92" spans="4:9" x14ac:dyDescent="0.45">
      <c r="D92" t="str">
        <f t="shared" si="5"/>
        <v>&lt;=150</v>
      </c>
      <c r="E92">
        <f t="shared" si="6"/>
        <v>0</v>
      </c>
      <c r="F92" s="1" t="e">
        <f>INDEX('App-Click Conversion by Rank'!$K$12:$S$31,MATCH(E92,'App-Click Conversion by Rank'!$J$12:$J$31,0),MATCH(D92,'App-Click Conversion by Rank'!$K$11:$S$11,0))</f>
        <v>#N/A</v>
      </c>
      <c r="G92" s="3" t="e">
        <f t="shared" si="7"/>
        <v>#N/A</v>
      </c>
      <c r="H92" s="5" t="e">
        <f t="shared" si="8"/>
        <v>#N/A</v>
      </c>
      <c r="I92">
        <f t="shared" si="9"/>
        <v>0</v>
      </c>
    </row>
    <row r="93" spans="4:9" x14ac:dyDescent="0.45">
      <c r="D93" t="str">
        <f t="shared" si="5"/>
        <v>&lt;=150</v>
      </c>
      <c r="E93">
        <f t="shared" si="6"/>
        <v>0</v>
      </c>
      <c r="F93" s="1" t="e">
        <f>INDEX('App-Click Conversion by Rank'!$K$12:$S$31,MATCH(E93,'App-Click Conversion by Rank'!$J$12:$J$31,0),MATCH(D93,'App-Click Conversion by Rank'!$K$11:$S$11,0))</f>
        <v>#N/A</v>
      </c>
      <c r="G93" s="3" t="e">
        <f t="shared" si="7"/>
        <v>#N/A</v>
      </c>
      <c r="H93" s="5" t="e">
        <f t="shared" si="8"/>
        <v>#N/A</v>
      </c>
      <c r="I93">
        <f t="shared" si="9"/>
        <v>0</v>
      </c>
    </row>
    <row r="94" spans="4:9" x14ac:dyDescent="0.45">
      <c r="D94" t="str">
        <f t="shared" si="5"/>
        <v>&lt;=150</v>
      </c>
      <c r="E94">
        <f t="shared" si="6"/>
        <v>0</v>
      </c>
      <c r="F94" s="1" t="e">
        <f>INDEX('App-Click Conversion by Rank'!$K$12:$S$31,MATCH(E94,'App-Click Conversion by Rank'!$J$12:$J$31,0),MATCH(D94,'App-Click Conversion by Rank'!$K$11:$S$11,0))</f>
        <v>#N/A</v>
      </c>
      <c r="G94" s="3" t="e">
        <f t="shared" si="7"/>
        <v>#N/A</v>
      </c>
      <c r="H94" s="5" t="e">
        <f t="shared" si="8"/>
        <v>#N/A</v>
      </c>
      <c r="I94">
        <f t="shared" si="9"/>
        <v>0</v>
      </c>
    </row>
    <row r="95" spans="4:9" x14ac:dyDescent="0.45">
      <c r="D95" t="str">
        <f t="shared" si="5"/>
        <v>&lt;=150</v>
      </c>
      <c r="E95">
        <f t="shared" si="6"/>
        <v>0</v>
      </c>
      <c r="F95" s="1" t="e">
        <f>INDEX('App-Click Conversion by Rank'!$K$12:$S$31,MATCH(E95,'App-Click Conversion by Rank'!$J$12:$J$31,0),MATCH(D95,'App-Click Conversion by Rank'!$K$11:$S$11,0))</f>
        <v>#N/A</v>
      </c>
      <c r="G95" s="3" t="e">
        <f t="shared" si="7"/>
        <v>#N/A</v>
      </c>
      <c r="H95" s="5" t="e">
        <f t="shared" si="8"/>
        <v>#N/A</v>
      </c>
      <c r="I95">
        <f t="shared" si="9"/>
        <v>0</v>
      </c>
    </row>
    <row r="96" spans="4:9" x14ac:dyDescent="0.45">
      <c r="D96" t="str">
        <f t="shared" si="5"/>
        <v>&lt;=150</v>
      </c>
      <c r="E96">
        <f t="shared" si="6"/>
        <v>0</v>
      </c>
      <c r="F96" s="1" t="e">
        <f>INDEX('App-Click Conversion by Rank'!$K$12:$S$31,MATCH(E96,'App-Click Conversion by Rank'!$J$12:$J$31,0),MATCH(D96,'App-Click Conversion by Rank'!$K$11:$S$11,0))</f>
        <v>#N/A</v>
      </c>
      <c r="G96" s="3" t="e">
        <f t="shared" si="7"/>
        <v>#N/A</v>
      </c>
      <c r="H96" s="5" t="e">
        <f t="shared" si="8"/>
        <v>#N/A</v>
      </c>
      <c r="I96">
        <f t="shared" si="9"/>
        <v>0</v>
      </c>
    </row>
    <row r="97" spans="4:9" x14ac:dyDescent="0.45">
      <c r="D97" t="str">
        <f t="shared" si="5"/>
        <v>&lt;=150</v>
      </c>
      <c r="E97">
        <f t="shared" si="6"/>
        <v>0</v>
      </c>
      <c r="F97" s="1" t="e">
        <f>INDEX('App-Click Conversion by Rank'!$K$12:$S$31,MATCH(E97,'App-Click Conversion by Rank'!$J$12:$J$31,0),MATCH(D97,'App-Click Conversion by Rank'!$K$11:$S$11,0))</f>
        <v>#N/A</v>
      </c>
      <c r="G97" s="3" t="e">
        <f t="shared" si="7"/>
        <v>#N/A</v>
      </c>
      <c r="H97" s="5" t="e">
        <f t="shared" si="8"/>
        <v>#N/A</v>
      </c>
      <c r="I97">
        <f t="shared" si="9"/>
        <v>0</v>
      </c>
    </row>
    <row r="98" spans="4:9" x14ac:dyDescent="0.45">
      <c r="D98" t="str">
        <f t="shared" si="5"/>
        <v>&lt;=150</v>
      </c>
      <c r="E98">
        <f t="shared" si="6"/>
        <v>0</v>
      </c>
      <c r="F98" s="1" t="e">
        <f>INDEX('App-Click Conversion by Rank'!$K$12:$S$31,MATCH(E98,'App-Click Conversion by Rank'!$J$12:$J$31,0),MATCH(D98,'App-Click Conversion by Rank'!$K$11:$S$11,0))</f>
        <v>#N/A</v>
      </c>
      <c r="G98" s="3" t="e">
        <f t="shared" si="7"/>
        <v>#N/A</v>
      </c>
      <c r="H98" s="5" t="e">
        <f t="shared" si="8"/>
        <v>#N/A</v>
      </c>
      <c r="I98">
        <f t="shared" si="9"/>
        <v>0</v>
      </c>
    </row>
    <row r="99" spans="4:9" x14ac:dyDescent="0.45">
      <c r="D99" t="str">
        <f t="shared" si="5"/>
        <v>&lt;=150</v>
      </c>
      <c r="E99">
        <f t="shared" si="6"/>
        <v>0</v>
      </c>
      <c r="F99" s="1" t="e">
        <f>INDEX('App-Click Conversion by Rank'!$K$12:$S$31,MATCH(E99,'App-Click Conversion by Rank'!$J$12:$J$31,0),MATCH(D99,'App-Click Conversion by Rank'!$K$11:$S$11,0))</f>
        <v>#N/A</v>
      </c>
      <c r="G99" s="3" t="e">
        <f t="shared" si="7"/>
        <v>#N/A</v>
      </c>
      <c r="H99" s="5" t="e">
        <f t="shared" si="8"/>
        <v>#N/A</v>
      </c>
      <c r="I99">
        <f t="shared" si="9"/>
        <v>0</v>
      </c>
    </row>
    <row r="100" spans="4:9" x14ac:dyDescent="0.45">
      <c r="D100" t="str">
        <f t="shared" si="5"/>
        <v>&lt;=150</v>
      </c>
      <c r="E100">
        <f t="shared" si="6"/>
        <v>0</v>
      </c>
      <c r="F100" s="1" t="e">
        <f>INDEX('App-Click Conversion by Rank'!$K$12:$S$31,MATCH(E100,'App-Click Conversion by Rank'!$J$12:$J$31,0),MATCH(D100,'App-Click Conversion by Rank'!$K$11:$S$11,0))</f>
        <v>#N/A</v>
      </c>
      <c r="G100" s="3" t="e">
        <f t="shared" si="7"/>
        <v>#N/A</v>
      </c>
      <c r="H100" s="5" t="e">
        <f t="shared" si="8"/>
        <v>#N/A</v>
      </c>
      <c r="I100">
        <f t="shared" si="9"/>
        <v>0</v>
      </c>
    </row>
    <row r="101" spans="4:9" x14ac:dyDescent="0.45">
      <c r="D101" t="str">
        <f t="shared" si="5"/>
        <v>&lt;=150</v>
      </c>
      <c r="E101">
        <f t="shared" si="6"/>
        <v>0</v>
      </c>
      <c r="F101" s="1" t="e">
        <f>INDEX('App-Click Conversion by Rank'!$K$12:$S$31,MATCH(E101,'App-Click Conversion by Rank'!$J$12:$J$31,0),MATCH(D101,'App-Click Conversion by Rank'!$K$11:$S$11,0))</f>
        <v>#N/A</v>
      </c>
      <c r="G101" s="3" t="e">
        <f t="shared" si="7"/>
        <v>#N/A</v>
      </c>
      <c r="H101" s="5" t="e">
        <f t="shared" si="8"/>
        <v>#N/A</v>
      </c>
      <c r="I101">
        <f t="shared" si="9"/>
        <v>0</v>
      </c>
    </row>
    <row r="102" spans="4:9" x14ac:dyDescent="0.45">
      <c r="D102" t="str">
        <f t="shared" si="5"/>
        <v>&lt;=150</v>
      </c>
      <c r="E102">
        <f t="shared" si="6"/>
        <v>0</v>
      </c>
      <c r="F102" s="1" t="e">
        <f>INDEX('App-Click Conversion by Rank'!$K$12:$S$31,MATCH(E102,'App-Click Conversion by Rank'!$J$12:$J$31,0),MATCH(D102,'App-Click Conversion by Rank'!$K$11:$S$11,0))</f>
        <v>#N/A</v>
      </c>
      <c r="G102" s="3" t="e">
        <f t="shared" si="7"/>
        <v>#N/A</v>
      </c>
      <c r="H102" s="5" t="e">
        <f t="shared" si="8"/>
        <v>#N/A</v>
      </c>
      <c r="I102">
        <f t="shared" si="9"/>
        <v>0</v>
      </c>
    </row>
    <row r="103" spans="4:9" x14ac:dyDescent="0.45">
      <c r="D103" t="str">
        <f t="shared" si="5"/>
        <v>&lt;=150</v>
      </c>
      <c r="E103">
        <f t="shared" si="6"/>
        <v>0</v>
      </c>
      <c r="F103" s="1" t="e">
        <f>INDEX('App-Click Conversion by Rank'!$K$12:$S$31,MATCH(E103,'App-Click Conversion by Rank'!$J$12:$J$31,0),MATCH(D103,'App-Click Conversion by Rank'!$K$11:$S$11,0))</f>
        <v>#N/A</v>
      </c>
      <c r="G103" s="3" t="e">
        <f t="shared" si="7"/>
        <v>#N/A</v>
      </c>
      <c r="H103" s="5" t="e">
        <f t="shared" si="8"/>
        <v>#N/A</v>
      </c>
      <c r="I103">
        <f t="shared" si="9"/>
        <v>0</v>
      </c>
    </row>
    <row r="104" spans="4:9" x14ac:dyDescent="0.45">
      <c r="D104" t="str">
        <f t="shared" si="5"/>
        <v>&lt;=150</v>
      </c>
      <c r="E104">
        <f t="shared" si="6"/>
        <v>0</v>
      </c>
      <c r="F104" s="1" t="e">
        <f>INDEX('App-Click Conversion by Rank'!$K$12:$S$31,MATCH(E104,'App-Click Conversion by Rank'!$J$12:$J$31,0),MATCH(D104,'App-Click Conversion by Rank'!$K$11:$S$11,0))</f>
        <v>#N/A</v>
      </c>
      <c r="G104" s="3" t="e">
        <f t="shared" si="7"/>
        <v>#N/A</v>
      </c>
      <c r="H104" s="5" t="e">
        <f t="shared" si="8"/>
        <v>#N/A</v>
      </c>
      <c r="I104">
        <f t="shared" si="9"/>
        <v>0</v>
      </c>
    </row>
    <row r="105" spans="4:9" x14ac:dyDescent="0.45">
      <c r="D105" t="str">
        <f t="shared" si="5"/>
        <v>&lt;=150</v>
      </c>
      <c r="E105">
        <f t="shared" si="6"/>
        <v>0</v>
      </c>
      <c r="F105" s="1" t="e">
        <f>INDEX('App-Click Conversion by Rank'!$K$12:$S$31,MATCH(E105,'App-Click Conversion by Rank'!$J$12:$J$31,0),MATCH(D105,'App-Click Conversion by Rank'!$K$11:$S$11,0))</f>
        <v>#N/A</v>
      </c>
      <c r="G105" s="3" t="e">
        <f t="shared" si="7"/>
        <v>#N/A</v>
      </c>
      <c r="H105" s="5" t="e">
        <f t="shared" si="8"/>
        <v>#N/A</v>
      </c>
      <c r="I105">
        <f t="shared" si="9"/>
        <v>0</v>
      </c>
    </row>
    <row r="106" spans="4:9" x14ac:dyDescent="0.45">
      <c r="D106" t="str">
        <f t="shared" si="5"/>
        <v>&lt;=150</v>
      </c>
      <c r="E106">
        <f t="shared" si="6"/>
        <v>0</v>
      </c>
      <c r="F106" s="1" t="e">
        <f>INDEX('App-Click Conversion by Rank'!$K$12:$S$31,MATCH(E106,'App-Click Conversion by Rank'!$J$12:$J$31,0),MATCH(D106,'App-Click Conversion by Rank'!$K$11:$S$11,0))</f>
        <v>#N/A</v>
      </c>
      <c r="G106" s="3" t="e">
        <f t="shared" si="7"/>
        <v>#N/A</v>
      </c>
      <c r="H106" s="5" t="e">
        <f t="shared" si="8"/>
        <v>#N/A</v>
      </c>
      <c r="I106">
        <f t="shared" si="9"/>
        <v>0</v>
      </c>
    </row>
    <row r="107" spans="4:9" x14ac:dyDescent="0.45">
      <c r="D107" t="str">
        <f t="shared" si="5"/>
        <v>&lt;=150</v>
      </c>
      <c r="E107">
        <f t="shared" si="6"/>
        <v>0</v>
      </c>
      <c r="F107" s="1" t="e">
        <f>INDEX('App-Click Conversion by Rank'!$K$12:$S$31,MATCH(E107,'App-Click Conversion by Rank'!$J$12:$J$31,0),MATCH(D107,'App-Click Conversion by Rank'!$K$11:$S$11,0))</f>
        <v>#N/A</v>
      </c>
      <c r="G107" s="3" t="e">
        <f t="shared" si="7"/>
        <v>#N/A</v>
      </c>
      <c r="H107" s="5" t="e">
        <f t="shared" si="8"/>
        <v>#N/A</v>
      </c>
      <c r="I107">
        <f t="shared" si="9"/>
        <v>0</v>
      </c>
    </row>
    <row r="108" spans="4:9" x14ac:dyDescent="0.45">
      <c r="D108" t="str">
        <f t="shared" si="5"/>
        <v>&lt;=150</v>
      </c>
      <c r="E108">
        <f t="shared" si="6"/>
        <v>0</v>
      </c>
      <c r="F108" s="1" t="e">
        <f>INDEX('App-Click Conversion by Rank'!$K$12:$S$31,MATCH(E108,'App-Click Conversion by Rank'!$J$12:$J$31,0),MATCH(D108,'App-Click Conversion by Rank'!$K$11:$S$11,0))</f>
        <v>#N/A</v>
      </c>
      <c r="G108" s="3" t="e">
        <f t="shared" si="7"/>
        <v>#N/A</v>
      </c>
      <c r="H108" s="5" t="e">
        <f t="shared" si="8"/>
        <v>#N/A</v>
      </c>
      <c r="I108">
        <f t="shared" si="9"/>
        <v>0</v>
      </c>
    </row>
    <row r="109" spans="4:9" x14ac:dyDescent="0.45">
      <c r="D109" t="str">
        <f t="shared" si="5"/>
        <v>&lt;=150</v>
      </c>
      <c r="E109">
        <f t="shared" si="6"/>
        <v>0</v>
      </c>
      <c r="F109" s="1" t="e">
        <f>INDEX('App-Click Conversion by Rank'!$K$12:$S$31,MATCH(E109,'App-Click Conversion by Rank'!$J$12:$J$31,0),MATCH(D109,'App-Click Conversion by Rank'!$K$11:$S$11,0))</f>
        <v>#N/A</v>
      </c>
      <c r="G109" s="3" t="e">
        <f t="shared" si="7"/>
        <v>#N/A</v>
      </c>
      <c r="H109" s="5" t="e">
        <f t="shared" si="8"/>
        <v>#N/A</v>
      </c>
      <c r="I109">
        <f t="shared" si="9"/>
        <v>0</v>
      </c>
    </row>
    <row r="110" spans="4:9" x14ac:dyDescent="0.45">
      <c r="D110" t="str">
        <f t="shared" si="5"/>
        <v>&lt;=150</v>
      </c>
      <c r="E110">
        <f t="shared" si="6"/>
        <v>0</v>
      </c>
      <c r="F110" s="1" t="e">
        <f>INDEX('App-Click Conversion by Rank'!$K$12:$S$31,MATCH(E110,'App-Click Conversion by Rank'!$J$12:$J$31,0),MATCH(D110,'App-Click Conversion by Rank'!$K$11:$S$11,0))</f>
        <v>#N/A</v>
      </c>
      <c r="G110" s="3" t="e">
        <f t="shared" si="7"/>
        <v>#N/A</v>
      </c>
      <c r="H110" s="5" t="e">
        <f t="shared" si="8"/>
        <v>#N/A</v>
      </c>
      <c r="I110">
        <f t="shared" si="9"/>
        <v>0</v>
      </c>
    </row>
    <row r="111" spans="4:9" x14ac:dyDescent="0.45">
      <c r="D111" t="str">
        <f t="shared" si="5"/>
        <v>&lt;=150</v>
      </c>
      <c r="E111">
        <f t="shared" si="6"/>
        <v>0</v>
      </c>
      <c r="F111" s="1" t="e">
        <f>INDEX('App-Click Conversion by Rank'!$K$12:$S$31,MATCH(E111,'App-Click Conversion by Rank'!$J$12:$J$31,0),MATCH(D111,'App-Click Conversion by Rank'!$K$11:$S$11,0))</f>
        <v>#N/A</v>
      </c>
      <c r="G111" s="3" t="e">
        <f t="shared" si="7"/>
        <v>#N/A</v>
      </c>
      <c r="H111" s="5" t="e">
        <f t="shared" si="8"/>
        <v>#N/A</v>
      </c>
      <c r="I111">
        <f t="shared" si="9"/>
        <v>0</v>
      </c>
    </row>
    <row r="112" spans="4:9" x14ac:dyDescent="0.45">
      <c r="D112" t="str">
        <f t="shared" si="5"/>
        <v>&lt;=150</v>
      </c>
      <c r="E112">
        <f t="shared" si="6"/>
        <v>0</v>
      </c>
      <c r="F112" s="1" t="e">
        <f>INDEX('App-Click Conversion by Rank'!$K$12:$S$31,MATCH(E112,'App-Click Conversion by Rank'!$J$12:$J$31,0),MATCH(D112,'App-Click Conversion by Rank'!$K$11:$S$11,0))</f>
        <v>#N/A</v>
      </c>
      <c r="G112" s="3" t="e">
        <f t="shared" si="7"/>
        <v>#N/A</v>
      </c>
      <c r="H112" s="5" t="e">
        <f t="shared" si="8"/>
        <v>#N/A</v>
      </c>
      <c r="I112">
        <f t="shared" si="9"/>
        <v>0</v>
      </c>
    </row>
    <row r="113" spans="4:9" x14ac:dyDescent="0.45">
      <c r="D113" t="str">
        <f t="shared" si="5"/>
        <v>&lt;=150</v>
      </c>
      <c r="E113">
        <f t="shared" si="6"/>
        <v>0</v>
      </c>
      <c r="F113" s="1" t="e">
        <f>INDEX('App-Click Conversion by Rank'!$K$12:$S$31,MATCH(E113,'App-Click Conversion by Rank'!$J$12:$J$31,0),MATCH(D113,'App-Click Conversion by Rank'!$K$11:$S$11,0))</f>
        <v>#N/A</v>
      </c>
      <c r="G113" s="3" t="e">
        <f t="shared" si="7"/>
        <v>#N/A</v>
      </c>
      <c r="H113" s="5" t="e">
        <f t="shared" si="8"/>
        <v>#N/A</v>
      </c>
      <c r="I113">
        <f t="shared" si="9"/>
        <v>0</v>
      </c>
    </row>
    <row r="114" spans="4:9" x14ac:dyDescent="0.45">
      <c r="D114" t="str">
        <f t="shared" si="5"/>
        <v>&lt;=150</v>
      </c>
      <c r="E114">
        <f t="shared" si="6"/>
        <v>0</v>
      </c>
      <c r="F114" s="1" t="e">
        <f>INDEX('App-Click Conversion by Rank'!$K$12:$S$31,MATCH(E114,'App-Click Conversion by Rank'!$J$12:$J$31,0),MATCH(D114,'App-Click Conversion by Rank'!$K$11:$S$11,0))</f>
        <v>#N/A</v>
      </c>
      <c r="G114" s="3" t="e">
        <f t="shared" si="7"/>
        <v>#N/A</v>
      </c>
      <c r="H114" s="5" t="e">
        <f t="shared" si="8"/>
        <v>#N/A</v>
      </c>
      <c r="I114">
        <f t="shared" si="9"/>
        <v>0</v>
      </c>
    </row>
    <row r="115" spans="4:9" x14ac:dyDescent="0.45">
      <c r="D115" t="str">
        <f t="shared" si="5"/>
        <v>&lt;=150</v>
      </c>
      <c r="E115">
        <f t="shared" si="6"/>
        <v>0</v>
      </c>
      <c r="F115" s="1" t="e">
        <f>INDEX('App-Click Conversion by Rank'!$K$12:$S$31,MATCH(E115,'App-Click Conversion by Rank'!$J$12:$J$31,0),MATCH(D115,'App-Click Conversion by Rank'!$K$11:$S$11,0))</f>
        <v>#N/A</v>
      </c>
      <c r="G115" s="3" t="e">
        <f t="shared" si="7"/>
        <v>#N/A</v>
      </c>
      <c r="H115" s="5" t="e">
        <f t="shared" si="8"/>
        <v>#N/A</v>
      </c>
      <c r="I115">
        <f t="shared" si="9"/>
        <v>0</v>
      </c>
    </row>
    <row r="116" spans="4:9" x14ac:dyDescent="0.45">
      <c r="D116" t="str">
        <f t="shared" si="5"/>
        <v>&lt;=150</v>
      </c>
      <c r="E116">
        <f t="shared" si="6"/>
        <v>0</v>
      </c>
      <c r="F116" s="1" t="e">
        <f>INDEX('App-Click Conversion by Rank'!$K$12:$S$31,MATCH(E116,'App-Click Conversion by Rank'!$J$12:$J$31,0),MATCH(D116,'App-Click Conversion by Rank'!$K$11:$S$11,0))</f>
        <v>#N/A</v>
      </c>
      <c r="G116" s="3" t="e">
        <f t="shared" si="7"/>
        <v>#N/A</v>
      </c>
      <c r="H116" s="5" t="e">
        <f t="shared" si="8"/>
        <v>#N/A</v>
      </c>
      <c r="I116">
        <f t="shared" si="9"/>
        <v>0</v>
      </c>
    </row>
    <row r="117" spans="4:9" x14ac:dyDescent="0.45">
      <c r="D117" t="str">
        <f t="shared" si="5"/>
        <v>&lt;=150</v>
      </c>
      <c r="E117">
        <f t="shared" si="6"/>
        <v>0</v>
      </c>
      <c r="F117" s="1" t="e">
        <f>INDEX('App-Click Conversion by Rank'!$K$12:$S$31,MATCH(E117,'App-Click Conversion by Rank'!$J$12:$J$31,0),MATCH(D117,'App-Click Conversion by Rank'!$K$11:$S$11,0))</f>
        <v>#N/A</v>
      </c>
      <c r="G117" s="3" t="e">
        <f t="shared" si="7"/>
        <v>#N/A</v>
      </c>
      <c r="H117" s="5" t="e">
        <f t="shared" si="8"/>
        <v>#N/A</v>
      </c>
      <c r="I117">
        <f t="shared" si="9"/>
        <v>0</v>
      </c>
    </row>
    <row r="118" spans="4:9" x14ac:dyDescent="0.45">
      <c r="D118" t="str">
        <f t="shared" si="5"/>
        <v>&lt;=150</v>
      </c>
      <c r="E118">
        <f t="shared" si="6"/>
        <v>0</v>
      </c>
      <c r="F118" s="1" t="e">
        <f>INDEX('App-Click Conversion by Rank'!$K$12:$S$31,MATCH(E118,'App-Click Conversion by Rank'!$J$12:$J$31,0),MATCH(D118,'App-Click Conversion by Rank'!$K$11:$S$11,0))</f>
        <v>#N/A</v>
      </c>
      <c r="G118" s="3" t="e">
        <f t="shared" si="7"/>
        <v>#N/A</v>
      </c>
      <c r="H118" s="5" t="e">
        <f t="shared" si="8"/>
        <v>#N/A</v>
      </c>
      <c r="I118">
        <f t="shared" si="9"/>
        <v>0</v>
      </c>
    </row>
    <row r="119" spans="4:9" x14ac:dyDescent="0.45">
      <c r="D119" t="str">
        <f t="shared" si="5"/>
        <v>&lt;=150</v>
      </c>
      <c r="E119">
        <f t="shared" si="6"/>
        <v>0</v>
      </c>
      <c r="F119" s="1" t="e">
        <f>INDEX('App-Click Conversion by Rank'!$K$12:$S$31,MATCH(E119,'App-Click Conversion by Rank'!$J$12:$J$31,0),MATCH(D119,'App-Click Conversion by Rank'!$K$11:$S$11,0))</f>
        <v>#N/A</v>
      </c>
      <c r="G119" s="3" t="e">
        <f t="shared" si="7"/>
        <v>#N/A</v>
      </c>
      <c r="H119" s="5" t="e">
        <f t="shared" si="8"/>
        <v>#N/A</v>
      </c>
      <c r="I119">
        <f t="shared" si="9"/>
        <v>0</v>
      </c>
    </row>
    <row r="120" spans="4:9" x14ac:dyDescent="0.45">
      <c r="D120" t="str">
        <f t="shared" si="5"/>
        <v>&lt;=150</v>
      </c>
      <c r="E120">
        <f t="shared" si="6"/>
        <v>0</v>
      </c>
      <c r="F120" s="1" t="e">
        <f>INDEX('App-Click Conversion by Rank'!$K$12:$S$31,MATCH(E120,'App-Click Conversion by Rank'!$J$12:$J$31,0),MATCH(D120,'App-Click Conversion by Rank'!$K$11:$S$11,0))</f>
        <v>#N/A</v>
      </c>
      <c r="G120" s="3" t="e">
        <f t="shared" si="7"/>
        <v>#N/A</v>
      </c>
      <c r="H120" s="5" t="e">
        <f t="shared" si="8"/>
        <v>#N/A</v>
      </c>
      <c r="I120">
        <f t="shared" si="9"/>
        <v>0</v>
      </c>
    </row>
    <row r="121" spans="4:9" x14ac:dyDescent="0.45">
      <c r="D121" t="str">
        <f t="shared" si="5"/>
        <v>&lt;=150</v>
      </c>
      <c r="E121">
        <f t="shared" si="6"/>
        <v>0</v>
      </c>
      <c r="F121" s="1" t="e">
        <f>INDEX('App-Click Conversion by Rank'!$K$12:$S$31,MATCH(E121,'App-Click Conversion by Rank'!$J$12:$J$31,0),MATCH(D121,'App-Click Conversion by Rank'!$K$11:$S$11,0))</f>
        <v>#N/A</v>
      </c>
      <c r="G121" s="3" t="e">
        <f t="shared" si="7"/>
        <v>#N/A</v>
      </c>
      <c r="H121" s="5" t="e">
        <f t="shared" si="8"/>
        <v>#N/A</v>
      </c>
      <c r="I121">
        <f t="shared" si="9"/>
        <v>0</v>
      </c>
    </row>
    <row r="122" spans="4:9" x14ac:dyDescent="0.45">
      <c r="D122" t="str">
        <f t="shared" si="5"/>
        <v>&lt;=150</v>
      </c>
      <c r="E122">
        <f t="shared" si="6"/>
        <v>0</v>
      </c>
      <c r="F122" s="1" t="e">
        <f>INDEX('App-Click Conversion by Rank'!$K$12:$S$31,MATCH(E122,'App-Click Conversion by Rank'!$J$12:$J$31,0),MATCH(D122,'App-Click Conversion by Rank'!$K$11:$S$11,0))</f>
        <v>#N/A</v>
      </c>
      <c r="G122" s="3" t="e">
        <f t="shared" si="7"/>
        <v>#N/A</v>
      </c>
      <c r="H122" s="5" t="e">
        <f t="shared" si="8"/>
        <v>#N/A</v>
      </c>
      <c r="I122">
        <f t="shared" si="9"/>
        <v>0</v>
      </c>
    </row>
    <row r="123" spans="4:9" x14ac:dyDescent="0.45">
      <c r="D123" t="str">
        <f t="shared" si="5"/>
        <v>&lt;=150</v>
      </c>
      <c r="E123">
        <f t="shared" si="6"/>
        <v>0</v>
      </c>
      <c r="F123" s="1" t="e">
        <f>INDEX('App-Click Conversion by Rank'!$K$12:$S$31,MATCH(E123,'App-Click Conversion by Rank'!$J$12:$J$31,0),MATCH(D123,'App-Click Conversion by Rank'!$K$11:$S$11,0))</f>
        <v>#N/A</v>
      </c>
      <c r="G123" s="3" t="e">
        <f t="shared" si="7"/>
        <v>#N/A</v>
      </c>
      <c r="H123" s="5" t="e">
        <f t="shared" si="8"/>
        <v>#N/A</v>
      </c>
      <c r="I123">
        <f t="shared" si="9"/>
        <v>0</v>
      </c>
    </row>
    <row r="124" spans="4:9" x14ac:dyDescent="0.45">
      <c r="D124" t="str">
        <f t="shared" si="5"/>
        <v>&lt;=150</v>
      </c>
      <c r="E124">
        <f t="shared" si="6"/>
        <v>0</v>
      </c>
      <c r="F124" s="1" t="e">
        <f>INDEX('App-Click Conversion by Rank'!$K$12:$S$31,MATCH(E124,'App-Click Conversion by Rank'!$J$12:$J$31,0),MATCH(D124,'App-Click Conversion by Rank'!$K$11:$S$11,0))</f>
        <v>#N/A</v>
      </c>
      <c r="G124" s="3" t="e">
        <f t="shared" si="7"/>
        <v>#N/A</v>
      </c>
      <c r="H124" s="5" t="e">
        <f t="shared" si="8"/>
        <v>#N/A</v>
      </c>
      <c r="I124">
        <f t="shared" si="9"/>
        <v>0</v>
      </c>
    </row>
    <row r="125" spans="4:9" x14ac:dyDescent="0.45">
      <c r="D125" t="str">
        <f t="shared" si="5"/>
        <v>&lt;=150</v>
      </c>
      <c r="E125">
        <f t="shared" si="6"/>
        <v>0</v>
      </c>
      <c r="F125" s="1" t="e">
        <f>INDEX('App-Click Conversion by Rank'!$K$12:$S$31,MATCH(E125,'App-Click Conversion by Rank'!$J$12:$J$31,0),MATCH(D125,'App-Click Conversion by Rank'!$K$11:$S$11,0))</f>
        <v>#N/A</v>
      </c>
      <c r="G125" s="3" t="e">
        <f t="shared" si="7"/>
        <v>#N/A</v>
      </c>
      <c r="H125" s="5" t="e">
        <f t="shared" si="8"/>
        <v>#N/A</v>
      </c>
      <c r="I125">
        <f t="shared" si="9"/>
        <v>0</v>
      </c>
    </row>
    <row r="126" spans="4:9" x14ac:dyDescent="0.45">
      <c r="D126" t="str">
        <f t="shared" si="5"/>
        <v>&lt;=150</v>
      </c>
      <c r="E126">
        <f t="shared" si="6"/>
        <v>0</v>
      </c>
      <c r="F126" s="1" t="e">
        <f>INDEX('App-Click Conversion by Rank'!$K$12:$S$31,MATCH(E126,'App-Click Conversion by Rank'!$J$12:$J$31,0),MATCH(D126,'App-Click Conversion by Rank'!$K$11:$S$11,0))</f>
        <v>#N/A</v>
      </c>
      <c r="G126" s="3" t="e">
        <f t="shared" si="7"/>
        <v>#N/A</v>
      </c>
      <c r="H126" s="5" t="e">
        <f t="shared" si="8"/>
        <v>#N/A</v>
      </c>
      <c r="I126">
        <f t="shared" si="9"/>
        <v>0</v>
      </c>
    </row>
    <row r="127" spans="4:9" x14ac:dyDescent="0.45">
      <c r="D127" t="str">
        <f t="shared" si="5"/>
        <v>&lt;=150</v>
      </c>
      <c r="E127">
        <f t="shared" si="6"/>
        <v>0</v>
      </c>
      <c r="F127" s="1" t="e">
        <f>INDEX('App-Click Conversion by Rank'!$K$12:$S$31,MATCH(E127,'App-Click Conversion by Rank'!$J$12:$J$31,0),MATCH(D127,'App-Click Conversion by Rank'!$K$11:$S$11,0))</f>
        <v>#N/A</v>
      </c>
      <c r="G127" s="3" t="e">
        <f t="shared" si="7"/>
        <v>#N/A</v>
      </c>
      <c r="H127" s="5" t="e">
        <f t="shared" si="8"/>
        <v>#N/A</v>
      </c>
      <c r="I127">
        <f t="shared" si="9"/>
        <v>0</v>
      </c>
    </row>
    <row r="128" spans="4:9" x14ac:dyDescent="0.45">
      <c r="D128" t="str">
        <f t="shared" si="5"/>
        <v>&lt;=150</v>
      </c>
      <c r="E128">
        <f t="shared" si="6"/>
        <v>0</v>
      </c>
      <c r="F128" s="1" t="e">
        <f>INDEX('App-Click Conversion by Rank'!$K$12:$S$31,MATCH(E128,'App-Click Conversion by Rank'!$J$12:$J$31,0),MATCH(D128,'App-Click Conversion by Rank'!$K$11:$S$11,0))</f>
        <v>#N/A</v>
      </c>
      <c r="G128" s="3" t="e">
        <f t="shared" si="7"/>
        <v>#N/A</v>
      </c>
      <c r="H128" s="5" t="e">
        <f t="shared" si="8"/>
        <v>#N/A</v>
      </c>
      <c r="I128">
        <f t="shared" si="9"/>
        <v>0</v>
      </c>
    </row>
    <row r="129" spans="4:9" x14ac:dyDescent="0.45">
      <c r="D129" t="str">
        <f t="shared" si="5"/>
        <v>&lt;=150</v>
      </c>
      <c r="E129">
        <f t="shared" si="6"/>
        <v>0</v>
      </c>
      <c r="F129" s="1" t="e">
        <f>INDEX('App-Click Conversion by Rank'!$K$12:$S$31,MATCH(E129,'App-Click Conversion by Rank'!$J$12:$J$31,0),MATCH(D129,'App-Click Conversion by Rank'!$K$11:$S$11,0))</f>
        <v>#N/A</v>
      </c>
      <c r="G129" s="3" t="e">
        <f t="shared" si="7"/>
        <v>#N/A</v>
      </c>
      <c r="H129" s="5" t="e">
        <f t="shared" si="8"/>
        <v>#N/A</v>
      </c>
      <c r="I129">
        <f t="shared" si="9"/>
        <v>0</v>
      </c>
    </row>
    <row r="130" spans="4:9" x14ac:dyDescent="0.45">
      <c r="D130" t="str">
        <f t="shared" si="5"/>
        <v>&lt;=150</v>
      </c>
      <c r="E130">
        <f t="shared" si="6"/>
        <v>0</v>
      </c>
      <c r="F130" s="1" t="e">
        <f>INDEX('App-Click Conversion by Rank'!$K$12:$S$31,MATCH(E130,'App-Click Conversion by Rank'!$J$12:$J$31,0),MATCH(D130,'App-Click Conversion by Rank'!$K$11:$S$11,0))</f>
        <v>#N/A</v>
      </c>
      <c r="G130" s="3" t="e">
        <f t="shared" si="7"/>
        <v>#N/A</v>
      </c>
      <c r="H130" s="5" t="e">
        <f t="shared" si="8"/>
        <v>#N/A</v>
      </c>
      <c r="I130">
        <f t="shared" si="9"/>
        <v>0</v>
      </c>
    </row>
    <row r="131" spans="4:9" x14ac:dyDescent="0.45">
      <c r="D131" t="str">
        <f t="shared" ref="D131:D194" si="10">IF(B131&lt;=150,"&lt;=150",IF(B131&gt;500,"501+",B131))</f>
        <v>&lt;=150</v>
      </c>
      <c r="E131">
        <f t="shared" ref="E131:E194" si="11">IF(A131&gt;=20,"20+",A131)</f>
        <v>0</v>
      </c>
      <c r="F131" s="1" t="e">
        <f>INDEX('App-Click Conversion by Rank'!$K$12:$S$31,MATCH(E131,'App-Click Conversion by Rank'!$J$12:$J$31,0),MATCH(D131,'App-Click Conversion by Rank'!$K$11:$S$11,0))</f>
        <v>#N/A</v>
      </c>
      <c r="G131" s="3" t="e">
        <f t="shared" ref="G131:G194" si="12">C131*F131</f>
        <v>#N/A</v>
      </c>
      <c r="H131" s="5" t="e">
        <f t="shared" ref="H131:H194" si="13">G131*A131</f>
        <v>#N/A</v>
      </c>
      <c r="I131">
        <f t="shared" ref="I131:I194" si="14">C131*A131</f>
        <v>0</v>
      </c>
    </row>
    <row r="132" spans="4:9" x14ac:dyDescent="0.45">
      <c r="D132" t="str">
        <f t="shared" si="10"/>
        <v>&lt;=150</v>
      </c>
      <c r="E132">
        <f t="shared" si="11"/>
        <v>0</v>
      </c>
      <c r="F132" s="1" t="e">
        <f>INDEX('App-Click Conversion by Rank'!$K$12:$S$31,MATCH(E132,'App-Click Conversion by Rank'!$J$12:$J$31,0),MATCH(D132,'App-Click Conversion by Rank'!$K$11:$S$11,0))</f>
        <v>#N/A</v>
      </c>
      <c r="G132" s="3" t="e">
        <f t="shared" si="12"/>
        <v>#N/A</v>
      </c>
      <c r="H132" s="5" t="e">
        <f t="shared" si="13"/>
        <v>#N/A</v>
      </c>
      <c r="I132">
        <f t="shared" si="14"/>
        <v>0</v>
      </c>
    </row>
    <row r="133" spans="4:9" x14ac:dyDescent="0.45">
      <c r="D133" t="str">
        <f t="shared" si="10"/>
        <v>&lt;=150</v>
      </c>
      <c r="E133">
        <f t="shared" si="11"/>
        <v>0</v>
      </c>
      <c r="F133" s="1" t="e">
        <f>INDEX('App-Click Conversion by Rank'!$K$12:$S$31,MATCH(E133,'App-Click Conversion by Rank'!$J$12:$J$31,0),MATCH(D133,'App-Click Conversion by Rank'!$K$11:$S$11,0))</f>
        <v>#N/A</v>
      </c>
      <c r="G133" s="3" t="e">
        <f t="shared" si="12"/>
        <v>#N/A</v>
      </c>
      <c r="H133" s="5" t="e">
        <f t="shared" si="13"/>
        <v>#N/A</v>
      </c>
      <c r="I133">
        <f t="shared" si="14"/>
        <v>0</v>
      </c>
    </row>
    <row r="134" spans="4:9" x14ac:dyDescent="0.45">
      <c r="D134" t="str">
        <f t="shared" si="10"/>
        <v>&lt;=150</v>
      </c>
      <c r="E134">
        <f t="shared" si="11"/>
        <v>0</v>
      </c>
      <c r="F134" s="1" t="e">
        <f>INDEX('App-Click Conversion by Rank'!$K$12:$S$31,MATCH(E134,'App-Click Conversion by Rank'!$J$12:$J$31,0),MATCH(D134,'App-Click Conversion by Rank'!$K$11:$S$11,0))</f>
        <v>#N/A</v>
      </c>
      <c r="G134" s="3" t="e">
        <f t="shared" si="12"/>
        <v>#N/A</v>
      </c>
      <c r="H134" s="5" t="e">
        <f t="shared" si="13"/>
        <v>#N/A</v>
      </c>
      <c r="I134">
        <f t="shared" si="14"/>
        <v>0</v>
      </c>
    </row>
    <row r="135" spans="4:9" x14ac:dyDescent="0.45">
      <c r="D135" t="str">
        <f t="shared" si="10"/>
        <v>&lt;=150</v>
      </c>
      <c r="E135">
        <f t="shared" si="11"/>
        <v>0</v>
      </c>
      <c r="F135" s="1" t="e">
        <f>INDEX('App-Click Conversion by Rank'!$K$12:$S$31,MATCH(E135,'App-Click Conversion by Rank'!$J$12:$J$31,0),MATCH(D135,'App-Click Conversion by Rank'!$K$11:$S$11,0))</f>
        <v>#N/A</v>
      </c>
      <c r="G135" s="3" t="e">
        <f t="shared" si="12"/>
        <v>#N/A</v>
      </c>
      <c r="H135" s="5" t="e">
        <f t="shared" si="13"/>
        <v>#N/A</v>
      </c>
      <c r="I135">
        <f t="shared" si="14"/>
        <v>0</v>
      </c>
    </row>
    <row r="136" spans="4:9" x14ac:dyDescent="0.45">
      <c r="D136" t="str">
        <f t="shared" si="10"/>
        <v>&lt;=150</v>
      </c>
      <c r="E136">
        <f t="shared" si="11"/>
        <v>0</v>
      </c>
      <c r="F136" s="1" t="e">
        <f>INDEX('App-Click Conversion by Rank'!$K$12:$S$31,MATCH(E136,'App-Click Conversion by Rank'!$J$12:$J$31,0),MATCH(D136,'App-Click Conversion by Rank'!$K$11:$S$11,0))</f>
        <v>#N/A</v>
      </c>
      <c r="G136" s="3" t="e">
        <f t="shared" si="12"/>
        <v>#N/A</v>
      </c>
      <c r="H136" s="5" t="e">
        <f t="shared" si="13"/>
        <v>#N/A</v>
      </c>
      <c r="I136">
        <f t="shared" si="14"/>
        <v>0</v>
      </c>
    </row>
    <row r="137" spans="4:9" x14ac:dyDescent="0.45">
      <c r="D137" t="str">
        <f t="shared" si="10"/>
        <v>&lt;=150</v>
      </c>
      <c r="E137">
        <f t="shared" si="11"/>
        <v>0</v>
      </c>
      <c r="F137" s="1" t="e">
        <f>INDEX('App-Click Conversion by Rank'!$K$12:$S$31,MATCH(E137,'App-Click Conversion by Rank'!$J$12:$J$31,0),MATCH(D137,'App-Click Conversion by Rank'!$K$11:$S$11,0))</f>
        <v>#N/A</v>
      </c>
      <c r="G137" s="3" t="e">
        <f t="shared" si="12"/>
        <v>#N/A</v>
      </c>
      <c r="H137" s="5" t="e">
        <f t="shared" si="13"/>
        <v>#N/A</v>
      </c>
      <c r="I137">
        <f t="shared" si="14"/>
        <v>0</v>
      </c>
    </row>
    <row r="138" spans="4:9" x14ac:dyDescent="0.45">
      <c r="D138" t="str">
        <f t="shared" si="10"/>
        <v>&lt;=150</v>
      </c>
      <c r="E138">
        <f t="shared" si="11"/>
        <v>0</v>
      </c>
      <c r="F138" s="1" t="e">
        <f>INDEX('App-Click Conversion by Rank'!$K$12:$S$31,MATCH(E138,'App-Click Conversion by Rank'!$J$12:$J$31,0),MATCH(D138,'App-Click Conversion by Rank'!$K$11:$S$11,0))</f>
        <v>#N/A</v>
      </c>
      <c r="G138" s="3" t="e">
        <f t="shared" si="12"/>
        <v>#N/A</v>
      </c>
      <c r="H138" s="5" t="e">
        <f t="shared" si="13"/>
        <v>#N/A</v>
      </c>
      <c r="I138">
        <f t="shared" si="14"/>
        <v>0</v>
      </c>
    </row>
    <row r="139" spans="4:9" x14ac:dyDescent="0.45">
      <c r="D139" t="str">
        <f t="shared" si="10"/>
        <v>&lt;=150</v>
      </c>
      <c r="E139">
        <f t="shared" si="11"/>
        <v>0</v>
      </c>
      <c r="F139" s="1" t="e">
        <f>INDEX('App-Click Conversion by Rank'!$K$12:$S$31,MATCH(E139,'App-Click Conversion by Rank'!$J$12:$J$31,0),MATCH(D139,'App-Click Conversion by Rank'!$K$11:$S$11,0))</f>
        <v>#N/A</v>
      </c>
      <c r="G139" s="3" t="e">
        <f t="shared" si="12"/>
        <v>#N/A</v>
      </c>
      <c r="H139" s="5" t="e">
        <f t="shared" si="13"/>
        <v>#N/A</v>
      </c>
      <c r="I139">
        <f t="shared" si="14"/>
        <v>0</v>
      </c>
    </row>
    <row r="140" spans="4:9" x14ac:dyDescent="0.45">
      <c r="D140" t="str">
        <f t="shared" si="10"/>
        <v>&lt;=150</v>
      </c>
      <c r="E140">
        <f t="shared" si="11"/>
        <v>0</v>
      </c>
      <c r="F140" s="1" t="e">
        <f>INDEX('App-Click Conversion by Rank'!$K$12:$S$31,MATCH(E140,'App-Click Conversion by Rank'!$J$12:$J$31,0),MATCH(D140,'App-Click Conversion by Rank'!$K$11:$S$11,0))</f>
        <v>#N/A</v>
      </c>
      <c r="G140" s="3" t="e">
        <f t="shared" si="12"/>
        <v>#N/A</v>
      </c>
      <c r="H140" s="5" t="e">
        <f t="shared" si="13"/>
        <v>#N/A</v>
      </c>
      <c r="I140">
        <f t="shared" si="14"/>
        <v>0</v>
      </c>
    </row>
    <row r="141" spans="4:9" x14ac:dyDescent="0.45">
      <c r="D141" t="str">
        <f t="shared" si="10"/>
        <v>&lt;=150</v>
      </c>
      <c r="E141">
        <f t="shared" si="11"/>
        <v>0</v>
      </c>
      <c r="F141" s="1" t="e">
        <f>INDEX('App-Click Conversion by Rank'!$K$12:$S$31,MATCH(E141,'App-Click Conversion by Rank'!$J$12:$J$31,0),MATCH(D141,'App-Click Conversion by Rank'!$K$11:$S$11,0))</f>
        <v>#N/A</v>
      </c>
      <c r="G141" s="3" t="e">
        <f t="shared" si="12"/>
        <v>#N/A</v>
      </c>
      <c r="H141" s="5" t="e">
        <f t="shared" si="13"/>
        <v>#N/A</v>
      </c>
      <c r="I141">
        <f t="shared" si="14"/>
        <v>0</v>
      </c>
    </row>
    <row r="142" spans="4:9" x14ac:dyDescent="0.45">
      <c r="D142" t="str">
        <f t="shared" si="10"/>
        <v>&lt;=150</v>
      </c>
      <c r="E142">
        <f t="shared" si="11"/>
        <v>0</v>
      </c>
      <c r="F142" s="1" t="e">
        <f>INDEX('App-Click Conversion by Rank'!$K$12:$S$31,MATCH(E142,'App-Click Conversion by Rank'!$J$12:$J$31,0),MATCH(D142,'App-Click Conversion by Rank'!$K$11:$S$11,0))</f>
        <v>#N/A</v>
      </c>
      <c r="G142" s="3" t="e">
        <f t="shared" si="12"/>
        <v>#N/A</v>
      </c>
      <c r="H142" s="5" t="e">
        <f t="shared" si="13"/>
        <v>#N/A</v>
      </c>
      <c r="I142">
        <f t="shared" si="14"/>
        <v>0</v>
      </c>
    </row>
    <row r="143" spans="4:9" x14ac:dyDescent="0.45">
      <c r="D143" t="str">
        <f t="shared" si="10"/>
        <v>&lt;=150</v>
      </c>
      <c r="E143">
        <f t="shared" si="11"/>
        <v>0</v>
      </c>
      <c r="F143" s="1" t="e">
        <f>INDEX('App-Click Conversion by Rank'!$K$12:$S$31,MATCH(E143,'App-Click Conversion by Rank'!$J$12:$J$31,0),MATCH(D143,'App-Click Conversion by Rank'!$K$11:$S$11,0))</f>
        <v>#N/A</v>
      </c>
      <c r="G143" s="3" t="e">
        <f t="shared" si="12"/>
        <v>#N/A</v>
      </c>
      <c r="H143" s="5" t="e">
        <f t="shared" si="13"/>
        <v>#N/A</v>
      </c>
      <c r="I143">
        <f t="shared" si="14"/>
        <v>0</v>
      </c>
    </row>
    <row r="144" spans="4:9" x14ac:dyDescent="0.45">
      <c r="D144" t="str">
        <f t="shared" si="10"/>
        <v>&lt;=150</v>
      </c>
      <c r="E144">
        <f t="shared" si="11"/>
        <v>0</v>
      </c>
      <c r="F144" s="1" t="e">
        <f>INDEX('App-Click Conversion by Rank'!$K$12:$S$31,MATCH(E144,'App-Click Conversion by Rank'!$J$12:$J$31,0),MATCH(D144,'App-Click Conversion by Rank'!$K$11:$S$11,0))</f>
        <v>#N/A</v>
      </c>
      <c r="G144" s="3" t="e">
        <f t="shared" si="12"/>
        <v>#N/A</v>
      </c>
      <c r="H144" s="5" t="e">
        <f t="shared" si="13"/>
        <v>#N/A</v>
      </c>
      <c r="I144">
        <f t="shared" si="14"/>
        <v>0</v>
      </c>
    </row>
    <row r="145" spans="4:9" x14ac:dyDescent="0.45">
      <c r="D145" t="str">
        <f t="shared" si="10"/>
        <v>&lt;=150</v>
      </c>
      <c r="E145">
        <f t="shared" si="11"/>
        <v>0</v>
      </c>
      <c r="F145" s="1" t="e">
        <f>INDEX('App-Click Conversion by Rank'!$K$12:$S$31,MATCH(E145,'App-Click Conversion by Rank'!$J$12:$J$31,0),MATCH(D145,'App-Click Conversion by Rank'!$K$11:$S$11,0))</f>
        <v>#N/A</v>
      </c>
      <c r="G145" s="3" t="e">
        <f t="shared" si="12"/>
        <v>#N/A</v>
      </c>
      <c r="H145" s="5" t="e">
        <f t="shared" si="13"/>
        <v>#N/A</v>
      </c>
      <c r="I145">
        <f t="shared" si="14"/>
        <v>0</v>
      </c>
    </row>
    <row r="146" spans="4:9" x14ac:dyDescent="0.45">
      <c r="D146" t="str">
        <f t="shared" si="10"/>
        <v>&lt;=150</v>
      </c>
      <c r="E146">
        <f t="shared" si="11"/>
        <v>0</v>
      </c>
      <c r="F146" s="1" t="e">
        <f>INDEX('App-Click Conversion by Rank'!$K$12:$S$31,MATCH(E146,'App-Click Conversion by Rank'!$J$12:$J$31,0),MATCH(D146,'App-Click Conversion by Rank'!$K$11:$S$11,0))</f>
        <v>#N/A</v>
      </c>
      <c r="G146" s="3" t="e">
        <f t="shared" si="12"/>
        <v>#N/A</v>
      </c>
      <c r="H146" s="5" t="e">
        <f t="shared" si="13"/>
        <v>#N/A</v>
      </c>
      <c r="I146">
        <f t="shared" si="14"/>
        <v>0</v>
      </c>
    </row>
    <row r="147" spans="4:9" x14ac:dyDescent="0.45">
      <c r="D147" t="str">
        <f t="shared" si="10"/>
        <v>&lt;=150</v>
      </c>
      <c r="E147">
        <f t="shared" si="11"/>
        <v>0</v>
      </c>
      <c r="F147" s="1" t="e">
        <f>INDEX('App-Click Conversion by Rank'!$K$12:$S$31,MATCH(E147,'App-Click Conversion by Rank'!$J$12:$J$31,0),MATCH(D147,'App-Click Conversion by Rank'!$K$11:$S$11,0))</f>
        <v>#N/A</v>
      </c>
      <c r="G147" s="3" t="e">
        <f t="shared" si="12"/>
        <v>#N/A</v>
      </c>
      <c r="H147" s="5" t="e">
        <f t="shared" si="13"/>
        <v>#N/A</v>
      </c>
      <c r="I147">
        <f t="shared" si="14"/>
        <v>0</v>
      </c>
    </row>
    <row r="148" spans="4:9" x14ac:dyDescent="0.45">
      <c r="D148" t="str">
        <f t="shared" si="10"/>
        <v>&lt;=150</v>
      </c>
      <c r="E148">
        <f t="shared" si="11"/>
        <v>0</v>
      </c>
      <c r="F148" s="1" t="e">
        <f>INDEX('App-Click Conversion by Rank'!$K$12:$S$31,MATCH(E148,'App-Click Conversion by Rank'!$J$12:$J$31,0),MATCH(D148,'App-Click Conversion by Rank'!$K$11:$S$11,0))</f>
        <v>#N/A</v>
      </c>
      <c r="G148" s="3" t="e">
        <f t="shared" si="12"/>
        <v>#N/A</v>
      </c>
      <c r="H148" s="5" t="e">
        <f t="shared" si="13"/>
        <v>#N/A</v>
      </c>
      <c r="I148">
        <f t="shared" si="14"/>
        <v>0</v>
      </c>
    </row>
    <row r="149" spans="4:9" x14ac:dyDescent="0.45">
      <c r="D149" t="str">
        <f t="shared" si="10"/>
        <v>&lt;=150</v>
      </c>
      <c r="E149">
        <f t="shared" si="11"/>
        <v>0</v>
      </c>
      <c r="F149" s="1" t="e">
        <f>INDEX('App-Click Conversion by Rank'!$K$12:$S$31,MATCH(E149,'App-Click Conversion by Rank'!$J$12:$J$31,0),MATCH(D149,'App-Click Conversion by Rank'!$K$11:$S$11,0))</f>
        <v>#N/A</v>
      </c>
      <c r="G149" s="3" t="e">
        <f t="shared" si="12"/>
        <v>#N/A</v>
      </c>
      <c r="H149" s="5" t="e">
        <f t="shared" si="13"/>
        <v>#N/A</v>
      </c>
      <c r="I149">
        <f t="shared" si="14"/>
        <v>0</v>
      </c>
    </row>
    <row r="150" spans="4:9" x14ac:dyDescent="0.45">
      <c r="D150" t="str">
        <f t="shared" si="10"/>
        <v>&lt;=150</v>
      </c>
      <c r="E150">
        <f t="shared" si="11"/>
        <v>0</v>
      </c>
      <c r="F150" s="1" t="e">
        <f>INDEX('App-Click Conversion by Rank'!$K$12:$S$31,MATCH(E150,'App-Click Conversion by Rank'!$J$12:$J$31,0),MATCH(D150,'App-Click Conversion by Rank'!$K$11:$S$11,0))</f>
        <v>#N/A</v>
      </c>
      <c r="G150" s="3" t="e">
        <f t="shared" si="12"/>
        <v>#N/A</v>
      </c>
      <c r="H150" s="5" t="e">
        <f t="shared" si="13"/>
        <v>#N/A</v>
      </c>
      <c r="I150">
        <f t="shared" si="14"/>
        <v>0</v>
      </c>
    </row>
    <row r="151" spans="4:9" x14ac:dyDescent="0.45">
      <c r="D151" t="str">
        <f t="shared" si="10"/>
        <v>&lt;=150</v>
      </c>
      <c r="E151">
        <f t="shared" si="11"/>
        <v>0</v>
      </c>
      <c r="F151" s="1" t="e">
        <f>INDEX('App-Click Conversion by Rank'!$K$12:$S$31,MATCH(E151,'App-Click Conversion by Rank'!$J$12:$J$31,0),MATCH(D151,'App-Click Conversion by Rank'!$K$11:$S$11,0))</f>
        <v>#N/A</v>
      </c>
      <c r="G151" s="3" t="e">
        <f t="shared" si="12"/>
        <v>#N/A</v>
      </c>
      <c r="H151" s="5" t="e">
        <f t="shared" si="13"/>
        <v>#N/A</v>
      </c>
      <c r="I151">
        <f t="shared" si="14"/>
        <v>0</v>
      </c>
    </row>
    <row r="152" spans="4:9" x14ac:dyDescent="0.45">
      <c r="D152" t="str">
        <f t="shared" si="10"/>
        <v>&lt;=150</v>
      </c>
      <c r="E152">
        <f t="shared" si="11"/>
        <v>0</v>
      </c>
      <c r="F152" s="1" t="e">
        <f>INDEX('App-Click Conversion by Rank'!$K$12:$S$31,MATCH(E152,'App-Click Conversion by Rank'!$J$12:$J$31,0),MATCH(D152,'App-Click Conversion by Rank'!$K$11:$S$11,0))</f>
        <v>#N/A</v>
      </c>
      <c r="G152" s="3" t="e">
        <f t="shared" si="12"/>
        <v>#N/A</v>
      </c>
      <c r="H152" s="5" t="e">
        <f t="shared" si="13"/>
        <v>#N/A</v>
      </c>
      <c r="I152">
        <f t="shared" si="14"/>
        <v>0</v>
      </c>
    </row>
    <row r="153" spans="4:9" x14ac:dyDescent="0.45">
      <c r="D153" t="str">
        <f t="shared" si="10"/>
        <v>&lt;=150</v>
      </c>
      <c r="E153">
        <f t="shared" si="11"/>
        <v>0</v>
      </c>
      <c r="F153" s="1" t="e">
        <f>INDEX('App-Click Conversion by Rank'!$K$12:$S$31,MATCH(E153,'App-Click Conversion by Rank'!$J$12:$J$31,0),MATCH(D153,'App-Click Conversion by Rank'!$K$11:$S$11,0))</f>
        <v>#N/A</v>
      </c>
      <c r="G153" s="3" t="e">
        <f t="shared" si="12"/>
        <v>#N/A</v>
      </c>
      <c r="H153" s="5" t="e">
        <f t="shared" si="13"/>
        <v>#N/A</v>
      </c>
      <c r="I153">
        <f t="shared" si="14"/>
        <v>0</v>
      </c>
    </row>
    <row r="154" spans="4:9" x14ac:dyDescent="0.45">
      <c r="D154" t="str">
        <f t="shared" si="10"/>
        <v>&lt;=150</v>
      </c>
      <c r="E154">
        <f t="shared" si="11"/>
        <v>0</v>
      </c>
      <c r="F154" s="1" t="e">
        <f>INDEX('App-Click Conversion by Rank'!$K$12:$S$31,MATCH(E154,'App-Click Conversion by Rank'!$J$12:$J$31,0),MATCH(D154,'App-Click Conversion by Rank'!$K$11:$S$11,0))</f>
        <v>#N/A</v>
      </c>
      <c r="G154" s="3" t="e">
        <f t="shared" si="12"/>
        <v>#N/A</v>
      </c>
      <c r="H154" s="5" t="e">
        <f t="shared" si="13"/>
        <v>#N/A</v>
      </c>
      <c r="I154">
        <f t="shared" si="14"/>
        <v>0</v>
      </c>
    </row>
    <row r="155" spans="4:9" x14ac:dyDescent="0.45">
      <c r="D155" t="str">
        <f t="shared" si="10"/>
        <v>&lt;=150</v>
      </c>
      <c r="E155">
        <f t="shared" si="11"/>
        <v>0</v>
      </c>
      <c r="F155" s="1" t="e">
        <f>INDEX('App-Click Conversion by Rank'!$K$12:$S$31,MATCH(E155,'App-Click Conversion by Rank'!$J$12:$J$31,0),MATCH(D155,'App-Click Conversion by Rank'!$K$11:$S$11,0))</f>
        <v>#N/A</v>
      </c>
      <c r="G155" s="3" t="e">
        <f t="shared" si="12"/>
        <v>#N/A</v>
      </c>
      <c r="H155" s="5" t="e">
        <f t="shared" si="13"/>
        <v>#N/A</v>
      </c>
      <c r="I155">
        <f t="shared" si="14"/>
        <v>0</v>
      </c>
    </row>
    <row r="156" spans="4:9" x14ac:dyDescent="0.45">
      <c r="D156" t="str">
        <f t="shared" si="10"/>
        <v>&lt;=150</v>
      </c>
      <c r="E156">
        <f t="shared" si="11"/>
        <v>0</v>
      </c>
      <c r="F156" s="1" t="e">
        <f>INDEX('App-Click Conversion by Rank'!$K$12:$S$31,MATCH(E156,'App-Click Conversion by Rank'!$J$12:$J$31,0),MATCH(D156,'App-Click Conversion by Rank'!$K$11:$S$11,0))</f>
        <v>#N/A</v>
      </c>
      <c r="G156" s="3" t="e">
        <f t="shared" si="12"/>
        <v>#N/A</v>
      </c>
      <c r="H156" s="5" t="e">
        <f t="shared" si="13"/>
        <v>#N/A</v>
      </c>
      <c r="I156">
        <f t="shared" si="14"/>
        <v>0</v>
      </c>
    </row>
    <row r="157" spans="4:9" x14ac:dyDescent="0.45">
      <c r="D157" t="str">
        <f t="shared" si="10"/>
        <v>&lt;=150</v>
      </c>
      <c r="E157">
        <f t="shared" si="11"/>
        <v>0</v>
      </c>
      <c r="F157" s="1" t="e">
        <f>INDEX('App-Click Conversion by Rank'!$K$12:$S$31,MATCH(E157,'App-Click Conversion by Rank'!$J$12:$J$31,0),MATCH(D157,'App-Click Conversion by Rank'!$K$11:$S$11,0))</f>
        <v>#N/A</v>
      </c>
      <c r="G157" s="3" t="e">
        <f t="shared" si="12"/>
        <v>#N/A</v>
      </c>
      <c r="H157" s="5" t="e">
        <f t="shared" si="13"/>
        <v>#N/A</v>
      </c>
      <c r="I157">
        <f t="shared" si="14"/>
        <v>0</v>
      </c>
    </row>
    <row r="158" spans="4:9" x14ac:dyDescent="0.45">
      <c r="D158" t="str">
        <f t="shared" si="10"/>
        <v>&lt;=150</v>
      </c>
      <c r="E158">
        <f t="shared" si="11"/>
        <v>0</v>
      </c>
      <c r="F158" s="1" t="e">
        <f>INDEX('App-Click Conversion by Rank'!$K$12:$S$31,MATCH(E158,'App-Click Conversion by Rank'!$J$12:$J$31,0),MATCH(D158,'App-Click Conversion by Rank'!$K$11:$S$11,0))</f>
        <v>#N/A</v>
      </c>
      <c r="G158" s="3" t="e">
        <f t="shared" si="12"/>
        <v>#N/A</v>
      </c>
      <c r="H158" s="5" t="e">
        <f t="shared" si="13"/>
        <v>#N/A</v>
      </c>
      <c r="I158">
        <f t="shared" si="14"/>
        <v>0</v>
      </c>
    </row>
    <row r="159" spans="4:9" x14ac:dyDescent="0.45">
      <c r="D159" t="str">
        <f t="shared" si="10"/>
        <v>&lt;=150</v>
      </c>
      <c r="E159">
        <f t="shared" si="11"/>
        <v>0</v>
      </c>
      <c r="F159" s="1" t="e">
        <f>INDEX('App-Click Conversion by Rank'!$K$12:$S$31,MATCH(E159,'App-Click Conversion by Rank'!$J$12:$J$31,0),MATCH(D159,'App-Click Conversion by Rank'!$K$11:$S$11,0))</f>
        <v>#N/A</v>
      </c>
      <c r="G159" s="3" t="e">
        <f t="shared" si="12"/>
        <v>#N/A</v>
      </c>
      <c r="H159" s="5" t="e">
        <f t="shared" si="13"/>
        <v>#N/A</v>
      </c>
      <c r="I159">
        <f t="shared" si="14"/>
        <v>0</v>
      </c>
    </row>
    <row r="160" spans="4:9" x14ac:dyDescent="0.45">
      <c r="D160" t="str">
        <f t="shared" si="10"/>
        <v>&lt;=150</v>
      </c>
      <c r="E160">
        <f t="shared" si="11"/>
        <v>0</v>
      </c>
      <c r="F160" s="1" t="e">
        <f>INDEX('App-Click Conversion by Rank'!$K$12:$S$31,MATCH(E160,'App-Click Conversion by Rank'!$J$12:$J$31,0),MATCH(D160,'App-Click Conversion by Rank'!$K$11:$S$11,0))</f>
        <v>#N/A</v>
      </c>
      <c r="G160" s="3" t="e">
        <f t="shared" si="12"/>
        <v>#N/A</v>
      </c>
      <c r="H160" s="5" t="e">
        <f t="shared" si="13"/>
        <v>#N/A</v>
      </c>
      <c r="I160">
        <f t="shared" si="14"/>
        <v>0</v>
      </c>
    </row>
    <row r="161" spans="4:9" x14ac:dyDescent="0.45">
      <c r="D161" t="str">
        <f t="shared" si="10"/>
        <v>&lt;=150</v>
      </c>
      <c r="E161">
        <f t="shared" si="11"/>
        <v>0</v>
      </c>
      <c r="F161" s="1" t="e">
        <f>INDEX('App-Click Conversion by Rank'!$K$12:$S$31,MATCH(E161,'App-Click Conversion by Rank'!$J$12:$J$31,0),MATCH(D161,'App-Click Conversion by Rank'!$K$11:$S$11,0))</f>
        <v>#N/A</v>
      </c>
      <c r="G161" s="3" t="e">
        <f t="shared" si="12"/>
        <v>#N/A</v>
      </c>
      <c r="H161" s="5" t="e">
        <f t="shared" si="13"/>
        <v>#N/A</v>
      </c>
      <c r="I161">
        <f t="shared" si="14"/>
        <v>0</v>
      </c>
    </row>
    <row r="162" spans="4:9" x14ac:dyDescent="0.45">
      <c r="D162" t="str">
        <f t="shared" si="10"/>
        <v>&lt;=150</v>
      </c>
      <c r="E162">
        <f t="shared" si="11"/>
        <v>0</v>
      </c>
      <c r="F162" s="1" t="e">
        <f>INDEX('App-Click Conversion by Rank'!$K$12:$S$31,MATCH(E162,'App-Click Conversion by Rank'!$J$12:$J$31,0),MATCH(D162,'App-Click Conversion by Rank'!$K$11:$S$11,0))</f>
        <v>#N/A</v>
      </c>
      <c r="G162" s="3" t="e">
        <f t="shared" si="12"/>
        <v>#N/A</v>
      </c>
      <c r="H162" s="5" t="e">
        <f t="shared" si="13"/>
        <v>#N/A</v>
      </c>
      <c r="I162">
        <f t="shared" si="14"/>
        <v>0</v>
      </c>
    </row>
    <row r="163" spans="4:9" x14ac:dyDescent="0.45">
      <c r="D163" t="str">
        <f t="shared" si="10"/>
        <v>&lt;=150</v>
      </c>
      <c r="E163">
        <f t="shared" si="11"/>
        <v>0</v>
      </c>
      <c r="F163" s="1" t="e">
        <f>INDEX('App-Click Conversion by Rank'!$K$12:$S$31,MATCH(E163,'App-Click Conversion by Rank'!$J$12:$J$31,0),MATCH(D163,'App-Click Conversion by Rank'!$K$11:$S$11,0))</f>
        <v>#N/A</v>
      </c>
      <c r="G163" s="3" t="e">
        <f t="shared" si="12"/>
        <v>#N/A</v>
      </c>
      <c r="H163" s="5" t="e">
        <f t="shared" si="13"/>
        <v>#N/A</v>
      </c>
      <c r="I163">
        <f t="shared" si="14"/>
        <v>0</v>
      </c>
    </row>
    <row r="164" spans="4:9" x14ac:dyDescent="0.45">
      <c r="D164" t="str">
        <f t="shared" si="10"/>
        <v>&lt;=150</v>
      </c>
      <c r="E164">
        <f t="shared" si="11"/>
        <v>0</v>
      </c>
      <c r="F164" s="1" t="e">
        <f>INDEX('App-Click Conversion by Rank'!$K$12:$S$31,MATCH(E164,'App-Click Conversion by Rank'!$J$12:$J$31,0),MATCH(D164,'App-Click Conversion by Rank'!$K$11:$S$11,0))</f>
        <v>#N/A</v>
      </c>
      <c r="G164" s="3" t="e">
        <f t="shared" si="12"/>
        <v>#N/A</v>
      </c>
      <c r="H164" s="5" t="e">
        <f t="shared" si="13"/>
        <v>#N/A</v>
      </c>
      <c r="I164">
        <f t="shared" si="14"/>
        <v>0</v>
      </c>
    </row>
    <row r="165" spans="4:9" x14ac:dyDescent="0.45">
      <c r="D165" t="str">
        <f t="shared" si="10"/>
        <v>&lt;=150</v>
      </c>
      <c r="E165">
        <f t="shared" si="11"/>
        <v>0</v>
      </c>
      <c r="F165" s="1" t="e">
        <f>INDEX('App-Click Conversion by Rank'!$K$12:$S$31,MATCH(E165,'App-Click Conversion by Rank'!$J$12:$J$31,0),MATCH(D165,'App-Click Conversion by Rank'!$K$11:$S$11,0))</f>
        <v>#N/A</v>
      </c>
      <c r="G165" s="3" t="e">
        <f t="shared" si="12"/>
        <v>#N/A</v>
      </c>
      <c r="H165" s="5" t="e">
        <f t="shared" si="13"/>
        <v>#N/A</v>
      </c>
      <c r="I165">
        <f t="shared" si="14"/>
        <v>0</v>
      </c>
    </row>
    <row r="166" spans="4:9" x14ac:dyDescent="0.45">
      <c r="D166" t="str">
        <f t="shared" si="10"/>
        <v>&lt;=150</v>
      </c>
      <c r="E166">
        <f t="shared" si="11"/>
        <v>0</v>
      </c>
      <c r="F166" s="1" t="e">
        <f>INDEX('App-Click Conversion by Rank'!$K$12:$S$31,MATCH(E166,'App-Click Conversion by Rank'!$J$12:$J$31,0),MATCH(D166,'App-Click Conversion by Rank'!$K$11:$S$11,0))</f>
        <v>#N/A</v>
      </c>
      <c r="G166" s="3" t="e">
        <f t="shared" si="12"/>
        <v>#N/A</v>
      </c>
      <c r="H166" s="5" t="e">
        <f t="shared" si="13"/>
        <v>#N/A</v>
      </c>
      <c r="I166">
        <f t="shared" si="14"/>
        <v>0</v>
      </c>
    </row>
    <row r="167" spans="4:9" x14ac:dyDescent="0.45">
      <c r="D167" t="str">
        <f t="shared" si="10"/>
        <v>&lt;=150</v>
      </c>
      <c r="E167">
        <f t="shared" si="11"/>
        <v>0</v>
      </c>
      <c r="F167" s="1" t="e">
        <f>INDEX('App-Click Conversion by Rank'!$K$12:$S$31,MATCH(E167,'App-Click Conversion by Rank'!$J$12:$J$31,0),MATCH(D167,'App-Click Conversion by Rank'!$K$11:$S$11,0))</f>
        <v>#N/A</v>
      </c>
      <c r="G167" s="3" t="e">
        <f t="shared" si="12"/>
        <v>#N/A</v>
      </c>
      <c r="H167" s="5" t="e">
        <f t="shared" si="13"/>
        <v>#N/A</v>
      </c>
      <c r="I167">
        <f t="shared" si="14"/>
        <v>0</v>
      </c>
    </row>
    <row r="168" spans="4:9" x14ac:dyDescent="0.45">
      <c r="D168" t="str">
        <f t="shared" si="10"/>
        <v>&lt;=150</v>
      </c>
      <c r="E168">
        <f t="shared" si="11"/>
        <v>0</v>
      </c>
      <c r="F168" s="1" t="e">
        <f>INDEX('App-Click Conversion by Rank'!$K$12:$S$31,MATCH(E168,'App-Click Conversion by Rank'!$J$12:$J$31,0),MATCH(D168,'App-Click Conversion by Rank'!$K$11:$S$11,0))</f>
        <v>#N/A</v>
      </c>
      <c r="G168" s="3" t="e">
        <f t="shared" si="12"/>
        <v>#N/A</v>
      </c>
      <c r="H168" s="5" t="e">
        <f t="shared" si="13"/>
        <v>#N/A</v>
      </c>
      <c r="I168">
        <f t="shared" si="14"/>
        <v>0</v>
      </c>
    </row>
    <row r="169" spans="4:9" x14ac:dyDescent="0.45">
      <c r="D169" t="str">
        <f t="shared" si="10"/>
        <v>&lt;=150</v>
      </c>
      <c r="E169">
        <f t="shared" si="11"/>
        <v>0</v>
      </c>
      <c r="F169" s="1" t="e">
        <f>INDEX('App-Click Conversion by Rank'!$K$12:$S$31,MATCH(E169,'App-Click Conversion by Rank'!$J$12:$J$31,0),MATCH(D169,'App-Click Conversion by Rank'!$K$11:$S$11,0))</f>
        <v>#N/A</v>
      </c>
      <c r="G169" s="3" t="e">
        <f t="shared" si="12"/>
        <v>#N/A</v>
      </c>
      <c r="H169" s="5" t="e">
        <f t="shared" si="13"/>
        <v>#N/A</v>
      </c>
      <c r="I169">
        <f t="shared" si="14"/>
        <v>0</v>
      </c>
    </row>
    <row r="170" spans="4:9" x14ac:dyDescent="0.45">
      <c r="D170" t="str">
        <f t="shared" si="10"/>
        <v>&lt;=150</v>
      </c>
      <c r="E170">
        <f t="shared" si="11"/>
        <v>0</v>
      </c>
      <c r="F170" s="1" t="e">
        <f>INDEX('App-Click Conversion by Rank'!$K$12:$S$31,MATCH(E170,'App-Click Conversion by Rank'!$J$12:$J$31,0),MATCH(D170,'App-Click Conversion by Rank'!$K$11:$S$11,0))</f>
        <v>#N/A</v>
      </c>
      <c r="G170" s="3" t="e">
        <f t="shared" si="12"/>
        <v>#N/A</v>
      </c>
      <c r="H170" s="5" t="e">
        <f t="shared" si="13"/>
        <v>#N/A</v>
      </c>
      <c r="I170">
        <f t="shared" si="14"/>
        <v>0</v>
      </c>
    </row>
    <row r="171" spans="4:9" x14ac:dyDescent="0.45">
      <c r="D171" t="str">
        <f t="shared" si="10"/>
        <v>&lt;=150</v>
      </c>
      <c r="E171">
        <f t="shared" si="11"/>
        <v>0</v>
      </c>
      <c r="F171" s="1" t="e">
        <f>INDEX('App-Click Conversion by Rank'!$K$12:$S$31,MATCH(E171,'App-Click Conversion by Rank'!$J$12:$J$31,0),MATCH(D171,'App-Click Conversion by Rank'!$K$11:$S$11,0))</f>
        <v>#N/A</v>
      </c>
      <c r="G171" s="3" t="e">
        <f t="shared" si="12"/>
        <v>#N/A</v>
      </c>
      <c r="H171" s="5" t="e">
        <f t="shared" si="13"/>
        <v>#N/A</v>
      </c>
      <c r="I171">
        <f t="shared" si="14"/>
        <v>0</v>
      </c>
    </row>
    <row r="172" spans="4:9" x14ac:dyDescent="0.45">
      <c r="D172" t="str">
        <f t="shared" si="10"/>
        <v>&lt;=150</v>
      </c>
      <c r="E172">
        <f t="shared" si="11"/>
        <v>0</v>
      </c>
      <c r="F172" s="1" t="e">
        <f>INDEX('App-Click Conversion by Rank'!$K$12:$S$31,MATCH(E172,'App-Click Conversion by Rank'!$J$12:$J$31,0),MATCH(D172,'App-Click Conversion by Rank'!$K$11:$S$11,0))</f>
        <v>#N/A</v>
      </c>
      <c r="G172" s="3" t="e">
        <f t="shared" si="12"/>
        <v>#N/A</v>
      </c>
      <c r="H172" s="5" t="e">
        <f t="shared" si="13"/>
        <v>#N/A</v>
      </c>
      <c r="I172">
        <f t="shared" si="14"/>
        <v>0</v>
      </c>
    </row>
    <row r="173" spans="4:9" x14ac:dyDescent="0.45">
      <c r="D173" t="str">
        <f t="shared" si="10"/>
        <v>&lt;=150</v>
      </c>
      <c r="E173">
        <f t="shared" si="11"/>
        <v>0</v>
      </c>
      <c r="F173" s="1" t="e">
        <f>INDEX('App-Click Conversion by Rank'!$K$12:$S$31,MATCH(E173,'App-Click Conversion by Rank'!$J$12:$J$31,0),MATCH(D173,'App-Click Conversion by Rank'!$K$11:$S$11,0))</f>
        <v>#N/A</v>
      </c>
      <c r="G173" s="3" t="e">
        <f t="shared" si="12"/>
        <v>#N/A</v>
      </c>
      <c r="H173" s="5" t="e">
        <f t="shared" si="13"/>
        <v>#N/A</v>
      </c>
      <c r="I173">
        <f t="shared" si="14"/>
        <v>0</v>
      </c>
    </row>
    <row r="174" spans="4:9" x14ac:dyDescent="0.45">
      <c r="D174" t="str">
        <f t="shared" si="10"/>
        <v>&lt;=150</v>
      </c>
      <c r="E174">
        <f t="shared" si="11"/>
        <v>0</v>
      </c>
      <c r="F174" s="1" t="e">
        <f>INDEX('App-Click Conversion by Rank'!$K$12:$S$31,MATCH(E174,'App-Click Conversion by Rank'!$J$12:$J$31,0),MATCH(D174,'App-Click Conversion by Rank'!$K$11:$S$11,0))</f>
        <v>#N/A</v>
      </c>
      <c r="G174" s="3" t="e">
        <f t="shared" si="12"/>
        <v>#N/A</v>
      </c>
      <c r="H174" s="5" t="e">
        <f t="shared" si="13"/>
        <v>#N/A</v>
      </c>
      <c r="I174">
        <f t="shared" si="14"/>
        <v>0</v>
      </c>
    </row>
    <row r="175" spans="4:9" x14ac:dyDescent="0.45">
      <c r="D175" t="str">
        <f t="shared" si="10"/>
        <v>&lt;=150</v>
      </c>
      <c r="E175">
        <f t="shared" si="11"/>
        <v>0</v>
      </c>
      <c r="F175" s="1" t="e">
        <f>INDEX('App-Click Conversion by Rank'!$K$12:$S$31,MATCH(E175,'App-Click Conversion by Rank'!$J$12:$J$31,0),MATCH(D175,'App-Click Conversion by Rank'!$K$11:$S$11,0))</f>
        <v>#N/A</v>
      </c>
      <c r="G175" s="3" t="e">
        <f t="shared" si="12"/>
        <v>#N/A</v>
      </c>
      <c r="H175" s="5" t="e">
        <f t="shared" si="13"/>
        <v>#N/A</v>
      </c>
      <c r="I175">
        <f t="shared" si="14"/>
        <v>0</v>
      </c>
    </row>
    <row r="176" spans="4:9" x14ac:dyDescent="0.45">
      <c r="D176" t="str">
        <f t="shared" si="10"/>
        <v>&lt;=150</v>
      </c>
      <c r="E176">
        <f t="shared" si="11"/>
        <v>0</v>
      </c>
      <c r="F176" s="1" t="e">
        <f>INDEX('App-Click Conversion by Rank'!$K$12:$S$31,MATCH(E176,'App-Click Conversion by Rank'!$J$12:$J$31,0),MATCH(D176,'App-Click Conversion by Rank'!$K$11:$S$11,0))</f>
        <v>#N/A</v>
      </c>
      <c r="G176" s="3" t="e">
        <f t="shared" si="12"/>
        <v>#N/A</v>
      </c>
      <c r="H176" s="5" t="e">
        <f t="shared" si="13"/>
        <v>#N/A</v>
      </c>
      <c r="I176">
        <f t="shared" si="14"/>
        <v>0</v>
      </c>
    </row>
    <row r="177" spans="4:9" x14ac:dyDescent="0.45">
      <c r="D177" t="str">
        <f t="shared" si="10"/>
        <v>&lt;=150</v>
      </c>
      <c r="E177">
        <f t="shared" si="11"/>
        <v>0</v>
      </c>
      <c r="F177" s="1" t="e">
        <f>INDEX('App-Click Conversion by Rank'!$K$12:$S$31,MATCH(E177,'App-Click Conversion by Rank'!$J$12:$J$31,0),MATCH(D177,'App-Click Conversion by Rank'!$K$11:$S$11,0))</f>
        <v>#N/A</v>
      </c>
      <c r="G177" s="3" t="e">
        <f t="shared" si="12"/>
        <v>#N/A</v>
      </c>
      <c r="H177" s="5" t="e">
        <f t="shared" si="13"/>
        <v>#N/A</v>
      </c>
      <c r="I177">
        <f t="shared" si="14"/>
        <v>0</v>
      </c>
    </row>
    <row r="178" spans="4:9" x14ac:dyDescent="0.45">
      <c r="D178" t="str">
        <f t="shared" si="10"/>
        <v>&lt;=150</v>
      </c>
      <c r="E178">
        <f t="shared" si="11"/>
        <v>0</v>
      </c>
      <c r="F178" s="1" t="e">
        <f>INDEX('App-Click Conversion by Rank'!$K$12:$S$31,MATCH(E178,'App-Click Conversion by Rank'!$J$12:$J$31,0),MATCH(D178,'App-Click Conversion by Rank'!$K$11:$S$11,0))</f>
        <v>#N/A</v>
      </c>
      <c r="G178" s="3" t="e">
        <f t="shared" si="12"/>
        <v>#N/A</v>
      </c>
      <c r="H178" s="5" t="e">
        <f t="shared" si="13"/>
        <v>#N/A</v>
      </c>
      <c r="I178">
        <f t="shared" si="14"/>
        <v>0</v>
      </c>
    </row>
    <row r="179" spans="4:9" x14ac:dyDescent="0.45">
      <c r="D179" t="str">
        <f t="shared" si="10"/>
        <v>&lt;=150</v>
      </c>
      <c r="E179">
        <f t="shared" si="11"/>
        <v>0</v>
      </c>
      <c r="F179" s="1" t="e">
        <f>INDEX('App-Click Conversion by Rank'!$K$12:$S$31,MATCH(E179,'App-Click Conversion by Rank'!$J$12:$J$31,0),MATCH(D179,'App-Click Conversion by Rank'!$K$11:$S$11,0))</f>
        <v>#N/A</v>
      </c>
      <c r="G179" s="3" t="e">
        <f t="shared" si="12"/>
        <v>#N/A</v>
      </c>
      <c r="H179" s="5" t="e">
        <f t="shared" si="13"/>
        <v>#N/A</v>
      </c>
      <c r="I179">
        <f t="shared" si="14"/>
        <v>0</v>
      </c>
    </row>
    <row r="180" spans="4:9" x14ac:dyDescent="0.45">
      <c r="D180" t="str">
        <f t="shared" si="10"/>
        <v>&lt;=150</v>
      </c>
      <c r="E180">
        <f t="shared" si="11"/>
        <v>0</v>
      </c>
      <c r="F180" s="1" t="e">
        <f>INDEX('App-Click Conversion by Rank'!$K$12:$S$31,MATCH(E180,'App-Click Conversion by Rank'!$J$12:$J$31,0),MATCH(D180,'App-Click Conversion by Rank'!$K$11:$S$11,0))</f>
        <v>#N/A</v>
      </c>
      <c r="G180" s="3" t="e">
        <f t="shared" si="12"/>
        <v>#N/A</v>
      </c>
      <c r="H180" s="5" t="e">
        <f t="shared" si="13"/>
        <v>#N/A</v>
      </c>
      <c r="I180">
        <f t="shared" si="14"/>
        <v>0</v>
      </c>
    </row>
    <row r="181" spans="4:9" x14ac:dyDescent="0.45">
      <c r="D181" t="str">
        <f t="shared" si="10"/>
        <v>&lt;=150</v>
      </c>
      <c r="E181">
        <f t="shared" si="11"/>
        <v>0</v>
      </c>
      <c r="F181" s="1" t="e">
        <f>INDEX('App-Click Conversion by Rank'!$K$12:$S$31,MATCH(E181,'App-Click Conversion by Rank'!$J$12:$J$31,0),MATCH(D181,'App-Click Conversion by Rank'!$K$11:$S$11,0))</f>
        <v>#N/A</v>
      </c>
      <c r="G181" s="3" t="e">
        <f t="shared" si="12"/>
        <v>#N/A</v>
      </c>
      <c r="H181" s="5" t="e">
        <f t="shared" si="13"/>
        <v>#N/A</v>
      </c>
      <c r="I181">
        <f t="shared" si="14"/>
        <v>0</v>
      </c>
    </row>
    <row r="182" spans="4:9" x14ac:dyDescent="0.45">
      <c r="D182" t="str">
        <f t="shared" si="10"/>
        <v>&lt;=150</v>
      </c>
      <c r="E182">
        <f t="shared" si="11"/>
        <v>0</v>
      </c>
      <c r="F182" s="1" t="e">
        <f>INDEX('App-Click Conversion by Rank'!$K$12:$S$31,MATCH(E182,'App-Click Conversion by Rank'!$J$12:$J$31,0),MATCH(D182,'App-Click Conversion by Rank'!$K$11:$S$11,0))</f>
        <v>#N/A</v>
      </c>
      <c r="G182" s="3" t="e">
        <f t="shared" si="12"/>
        <v>#N/A</v>
      </c>
      <c r="H182" s="5" t="e">
        <f t="shared" si="13"/>
        <v>#N/A</v>
      </c>
      <c r="I182">
        <f t="shared" si="14"/>
        <v>0</v>
      </c>
    </row>
    <row r="183" spans="4:9" x14ac:dyDescent="0.45">
      <c r="D183" t="str">
        <f t="shared" si="10"/>
        <v>&lt;=150</v>
      </c>
      <c r="E183">
        <f t="shared" si="11"/>
        <v>0</v>
      </c>
      <c r="F183" s="1" t="e">
        <f>INDEX('App-Click Conversion by Rank'!$K$12:$S$31,MATCH(E183,'App-Click Conversion by Rank'!$J$12:$J$31,0),MATCH(D183,'App-Click Conversion by Rank'!$K$11:$S$11,0))</f>
        <v>#N/A</v>
      </c>
      <c r="G183" s="3" t="e">
        <f t="shared" si="12"/>
        <v>#N/A</v>
      </c>
      <c r="H183" s="5" t="e">
        <f t="shared" si="13"/>
        <v>#N/A</v>
      </c>
      <c r="I183">
        <f t="shared" si="14"/>
        <v>0</v>
      </c>
    </row>
    <row r="184" spans="4:9" x14ac:dyDescent="0.45">
      <c r="D184" t="str">
        <f t="shared" si="10"/>
        <v>&lt;=150</v>
      </c>
      <c r="E184">
        <f t="shared" si="11"/>
        <v>0</v>
      </c>
      <c r="F184" s="1" t="e">
        <f>INDEX('App-Click Conversion by Rank'!$K$12:$S$31,MATCH(E184,'App-Click Conversion by Rank'!$J$12:$J$31,0),MATCH(D184,'App-Click Conversion by Rank'!$K$11:$S$11,0))</f>
        <v>#N/A</v>
      </c>
      <c r="G184" s="3" t="e">
        <f t="shared" si="12"/>
        <v>#N/A</v>
      </c>
      <c r="H184" s="5" t="e">
        <f t="shared" si="13"/>
        <v>#N/A</v>
      </c>
      <c r="I184">
        <f t="shared" si="14"/>
        <v>0</v>
      </c>
    </row>
    <row r="185" spans="4:9" x14ac:dyDescent="0.45">
      <c r="D185" t="str">
        <f t="shared" si="10"/>
        <v>&lt;=150</v>
      </c>
      <c r="E185">
        <f t="shared" si="11"/>
        <v>0</v>
      </c>
      <c r="F185" s="1" t="e">
        <f>INDEX('App-Click Conversion by Rank'!$K$12:$S$31,MATCH(E185,'App-Click Conversion by Rank'!$J$12:$J$31,0),MATCH(D185,'App-Click Conversion by Rank'!$K$11:$S$11,0))</f>
        <v>#N/A</v>
      </c>
      <c r="G185" s="3" t="e">
        <f t="shared" si="12"/>
        <v>#N/A</v>
      </c>
      <c r="H185" s="5" t="e">
        <f t="shared" si="13"/>
        <v>#N/A</v>
      </c>
      <c r="I185">
        <f t="shared" si="14"/>
        <v>0</v>
      </c>
    </row>
    <row r="186" spans="4:9" x14ac:dyDescent="0.45">
      <c r="D186" t="str">
        <f t="shared" si="10"/>
        <v>&lt;=150</v>
      </c>
      <c r="E186">
        <f t="shared" si="11"/>
        <v>0</v>
      </c>
      <c r="F186" s="1" t="e">
        <f>INDEX('App-Click Conversion by Rank'!$K$12:$S$31,MATCH(E186,'App-Click Conversion by Rank'!$J$12:$J$31,0),MATCH(D186,'App-Click Conversion by Rank'!$K$11:$S$11,0))</f>
        <v>#N/A</v>
      </c>
      <c r="G186" s="3" t="e">
        <f t="shared" si="12"/>
        <v>#N/A</v>
      </c>
      <c r="H186" s="5" t="e">
        <f t="shared" si="13"/>
        <v>#N/A</v>
      </c>
      <c r="I186">
        <f t="shared" si="14"/>
        <v>0</v>
      </c>
    </row>
    <row r="187" spans="4:9" x14ac:dyDescent="0.45">
      <c r="D187" t="str">
        <f t="shared" si="10"/>
        <v>&lt;=150</v>
      </c>
      <c r="E187">
        <f t="shared" si="11"/>
        <v>0</v>
      </c>
      <c r="F187" s="1" t="e">
        <f>INDEX('App-Click Conversion by Rank'!$K$12:$S$31,MATCH(E187,'App-Click Conversion by Rank'!$J$12:$J$31,0),MATCH(D187,'App-Click Conversion by Rank'!$K$11:$S$11,0))</f>
        <v>#N/A</v>
      </c>
      <c r="G187" s="3" t="e">
        <f t="shared" si="12"/>
        <v>#N/A</v>
      </c>
      <c r="H187" s="5" t="e">
        <f t="shared" si="13"/>
        <v>#N/A</v>
      </c>
      <c r="I187">
        <f t="shared" si="14"/>
        <v>0</v>
      </c>
    </row>
    <row r="188" spans="4:9" x14ac:dyDescent="0.45">
      <c r="D188" t="str">
        <f t="shared" si="10"/>
        <v>&lt;=150</v>
      </c>
      <c r="E188">
        <f t="shared" si="11"/>
        <v>0</v>
      </c>
      <c r="F188" s="1" t="e">
        <f>INDEX('App-Click Conversion by Rank'!$K$12:$S$31,MATCH(E188,'App-Click Conversion by Rank'!$J$12:$J$31,0),MATCH(D188,'App-Click Conversion by Rank'!$K$11:$S$11,0))</f>
        <v>#N/A</v>
      </c>
      <c r="G188" s="3" t="e">
        <f t="shared" si="12"/>
        <v>#N/A</v>
      </c>
      <c r="H188" s="5" t="e">
        <f t="shared" si="13"/>
        <v>#N/A</v>
      </c>
      <c r="I188">
        <f t="shared" si="14"/>
        <v>0</v>
      </c>
    </row>
    <row r="189" spans="4:9" x14ac:dyDescent="0.45">
      <c r="D189" t="str">
        <f t="shared" si="10"/>
        <v>&lt;=150</v>
      </c>
      <c r="E189">
        <f t="shared" si="11"/>
        <v>0</v>
      </c>
      <c r="F189" s="1" t="e">
        <f>INDEX('App-Click Conversion by Rank'!$K$12:$S$31,MATCH(E189,'App-Click Conversion by Rank'!$J$12:$J$31,0),MATCH(D189,'App-Click Conversion by Rank'!$K$11:$S$11,0))</f>
        <v>#N/A</v>
      </c>
      <c r="G189" s="3" t="e">
        <f t="shared" si="12"/>
        <v>#N/A</v>
      </c>
      <c r="H189" s="5" t="e">
        <f t="shared" si="13"/>
        <v>#N/A</v>
      </c>
      <c r="I189">
        <f t="shared" si="14"/>
        <v>0</v>
      </c>
    </row>
    <row r="190" spans="4:9" x14ac:dyDescent="0.45">
      <c r="D190" t="str">
        <f t="shared" si="10"/>
        <v>&lt;=150</v>
      </c>
      <c r="E190">
        <f t="shared" si="11"/>
        <v>0</v>
      </c>
      <c r="F190" s="1" t="e">
        <f>INDEX('App-Click Conversion by Rank'!$K$12:$S$31,MATCH(E190,'App-Click Conversion by Rank'!$J$12:$J$31,0),MATCH(D190,'App-Click Conversion by Rank'!$K$11:$S$11,0))</f>
        <v>#N/A</v>
      </c>
      <c r="G190" s="3" t="e">
        <f t="shared" si="12"/>
        <v>#N/A</v>
      </c>
      <c r="H190" s="5" t="e">
        <f t="shared" si="13"/>
        <v>#N/A</v>
      </c>
      <c r="I190">
        <f t="shared" si="14"/>
        <v>0</v>
      </c>
    </row>
    <row r="191" spans="4:9" x14ac:dyDescent="0.45">
      <c r="D191" t="str">
        <f t="shared" si="10"/>
        <v>&lt;=150</v>
      </c>
      <c r="E191">
        <f t="shared" si="11"/>
        <v>0</v>
      </c>
      <c r="F191" s="1" t="e">
        <f>INDEX('App-Click Conversion by Rank'!$K$12:$S$31,MATCH(E191,'App-Click Conversion by Rank'!$J$12:$J$31,0),MATCH(D191,'App-Click Conversion by Rank'!$K$11:$S$11,0))</f>
        <v>#N/A</v>
      </c>
      <c r="G191" s="3" t="e">
        <f t="shared" si="12"/>
        <v>#N/A</v>
      </c>
      <c r="H191" s="5" t="e">
        <f t="shared" si="13"/>
        <v>#N/A</v>
      </c>
      <c r="I191">
        <f t="shared" si="14"/>
        <v>0</v>
      </c>
    </row>
    <row r="192" spans="4:9" x14ac:dyDescent="0.45">
      <c r="D192" t="str">
        <f t="shared" si="10"/>
        <v>&lt;=150</v>
      </c>
      <c r="E192">
        <f t="shared" si="11"/>
        <v>0</v>
      </c>
      <c r="F192" s="1" t="e">
        <f>INDEX('App-Click Conversion by Rank'!$K$12:$S$31,MATCH(E192,'App-Click Conversion by Rank'!$J$12:$J$31,0),MATCH(D192,'App-Click Conversion by Rank'!$K$11:$S$11,0))</f>
        <v>#N/A</v>
      </c>
      <c r="G192" s="3" t="e">
        <f t="shared" si="12"/>
        <v>#N/A</v>
      </c>
      <c r="H192" s="5" t="e">
        <f t="shared" si="13"/>
        <v>#N/A</v>
      </c>
      <c r="I192">
        <f t="shared" si="14"/>
        <v>0</v>
      </c>
    </row>
    <row r="193" spans="4:9" x14ac:dyDescent="0.45">
      <c r="D193" t="str">
        <f t="shared" si="10"/>
        <v>&lt;=150</v>
      </c>
      <c r="E193">
        <f t="shared" si="11"/>
        <v>0</v>
      </c>
      <c r="F193" s="1" t="e">
        <f>INDEX('App-Click Conversion by Rank'!$K$12:$S$31,MATCH(E193,'App-Click Conversion by Rank'!$J$12:$J$31,0),MATCH(D193,'App-Click Conversion by Rank'!$K$11:$S$11,0))</f>
        <v>#N/A</v>
      </c>
      <c r="G193" s="3" t="e">
        <f t="shared" si="12"/>
        <v>#N/A</v>
      </c>
      <c r="H193" s="5" t="e">
        <f t="shared" si="13"/>
        <v>#N/A</v>
      </c>
      <c r="I193">
        <f t="shared" si="14"/>
        <v>0</v>
      </c>
    </row>
    <row r="194" spans="4:9" x14ac:dyDescent="0.45">
      <c r="D194" t="str">
        <f t="shared" si="10"/>
        <v>&lt;=150</v>
      </c>
      <c r="E194">
        <f t="shared" si="11"/>
        <v>0</v>
      </c>
      <c r="F194" s="1" t="e">
        <f>INDEX('App-Click Conversion by Rank'!$K$12:$S$31,MATCH(E194,'App-Click Conversion by Rank'!$J$12:$J$31,0),MATCH(D194,'App-Click Conversion by Rank'!$K$11:$S$11,0))</f>
        <v>#N/A</v>
      </c>
      <c r="G194" s="3" t="e">
        <f t="shared" si="12"/>
        <v>#N/A</v>
      </c>
      <c r="H194" s="5" t="e">
        <f t="shared" si="13"/>
        <v>#N/A</v>
      </c>
      <c r="I194">
        <f t="shared" si="14"/>
        <v>0</v>
      </c>
    </row>
    <row r="195" spans="4:9" x14ac:dyDescent="0.45">
      <c r="D195" t="str">
        <f t="shared" ref="D195:D258" si="15">IF(B195&lt;=150,"&lt;=150",IF(B195&gt;500,"501+",B195))</f>
        <v>&lt;=150</v>
      </c>
      <c r="E195">
        <f t="shared" ref="E195:E258" si="16">IF(A195&gt;=20,"20+",A195)</f>
        <v>0</v>
      </c>
      <c r="F195" s="1" t="e">
        <f>INDEX('App-Click Conversion by Rank'!$K$12:$S$31,MATCH(E195,'App-Click Conversion by Rank'!$J$12:$J$31,0),MATCH(D195,'App-Click Conversion by Rank'!$K$11:$S$11,0))</f>
        <v>#N/A</v>
      </c>
      <c r="G195" s="3" t="e">
        <f t="shared" ref="G195:G258" si="17">C195*F195</f>
        <v>#N/A</v>
      </c>
      <c r="H195" s="5" t="e">
        <f t="shared" ref="H195:H258" si="18">G195*A195</f>
        <v>#N/A</v>
      </c>
      <c r="I195">
        <f t="shared" ref="I195:I258" si="19">C195*A195</f>
        <v>0</v>
      </c>
    </row>
    <row r="196" spans="4:9" x14ac:dyDescent="0.45">
      <c r="D196" t="str">
        <f t="shared" si="15"/>
        <v>&lt;=150</v>
      </c>
      <c r="E196">
        <f t="shared" si="16"/>
        <v>0</v>
      </c>
      <c r="F196" s="1" t="e">
        <f>INDEX('App-Click Conversion by Rank'!$K$12:$S$31,MATCH(E196,'App-Click Conversion by Rank'!$J$12:$J$31,0),MATCH(D196,'App-Click Conversion by Rank'!$K$11:$S$11,0))</f>
        <v>#N/A</v>
      </c>
      <c r="G196" s="3" t="e">
        <f t="shared" si="17"/>
        <v>#N/A</v>
      </c>
      <c r="H196" s="5" t="e">
        <f t="shared" si="18"/>
        <v>#N/A</v>
      </c>
      <c r="I196">
        <f t="shared" si="19"/>
        <v>0</v>
      </c>
    </row>
    <row r="197" spans="4:9" x14ac:dyDescent="0.45">
      <c r="D197" t="str">
        <f t="shared" si="15"/>
        <v>&lt;=150</v>
      </c>
      <c r="E197">
        <f t="shared" si="16"/>
        <v>0</v>
      </c>
      <c r="F197" s="1" t="e">
        <f>INDEX('App-Click Conversion by Rank'!$K$12:$S$31,MATCH(E197,'App-Click Conversion by Rank'!$J$12:$J$31,0),MATCH(D197,'App-Click Conversion by Rank'!$K$11:$S$11,0))</f>
        <v>#N/A</v>
      </c>
      <c r="G197" s="3" t="e">
        <f t="shared" si="17"/>
        <v>#N/A</v>
      </c>
      <c r="H197" s="5" t="e">
        <f t="shared" si="18"/>
        <v>#N/A</v>
      </c>
      <c r="I197">
        <f t="shared" si="19"/>
        <v>0</v>
      </c>
    </row>
    <row r="198" spans="4:9" x14ac:dyDescent="0.45">
      <c r="D198" t="str">
        <f t="shared" si="15"/>
        <v>&lt;=150</v>
      </c>
      <c r="E198">
        <f t="shared" si="16"/>
        <v>0</v>
      </c>
      <c r="F198" s="1" t="e">
        <f>INDEX('App-Click Conversion by Rank'!$K$12:$S$31,MATCH(E198,'App-Click Conversion by Rank'!$J$12:$J$31,0),MATCH(D198,'App-Click Conversion by Rank'!$K$11:$S$11,0))</f>
        <v>#N/A</v>
      </c>
      <c r="G198" s="3" t="e">
        <f t="shared" si="17"/>
        <v>#N/A</v>
      </c>
      <c r="H198" s="5" t="e">
        <f t="shared" si="18"/>
        <v>#N/A</v>
      </c>
      <c r="I198">
        <f t="shared" si="19"/>
        <v>0</v>
      </c>
    </row>
    <row r="199" spans="4:9" x14ac:dyDescent="0.45">
      <c r="D199" t="str">
        <f t="shared" si="15"/>
        <v>&lt;=150</v>
      </c>
      <c r="E199">
        <f t="shared" si="16"/>
        <v>0</v>
      </c>
      <c r="F199" s="1" t="e">
        <f>INDEX('App-Click Conversion by Rank'!$K$12:$S$31,MATCH(E199,'App-Click Conversion by Rank'!$J$12:$J$31,0),MATCH(D199,'App-Click Conversion by Rank'!$K$11:$S$11,0))</f>
        <v>#N/A</v>
      </c>
      <c r="G199" s="3" t="e">
        <f t="shared" si="17"/>
        <v>#N/A</v>
      </c>
      <c r="H199" s="5" t="e">
        <f t="shared" si="18"/>
        <v>#N/A</v>
      </c>
      <c r="I199">
        <f t="shared" si="19"/>
        <v>0</v>
      </c>
    </row>
    <row r="200" spans="4:9" x14ac:dyDescent="0.45">
      <c r="D200" t="str">
        <f t="shared" si="15"/>
        <v>&lt;=150</v>
      </c>
      <c r="E200">
        <f t="shared" si="16"/>
        <v>0</v>
      </c>
      <c r="F200" s="1" t="e">
        <f>INDEX('App-Click Conversion by Rank'!$K$12:$S$31,MATCH(E200,'App-Click Conversion by Rank'!$J$12:$J$31,0),MATCH(D200,'App-Click Conversion by Rank'!$K$11:$S$11,0))</f>
        <v>#N/A</v>
      </c>
      <c r="G200" s="3" t="e">
        <f t="shared" si="17"/>
        <v>#N/A</v>
      </c>
      <c r="H200" s="5" t="e">
        <f t="shared" si="18"/>
        <v>#N/A</v>
      </c>
      <c r="I200">
        <f t="shared" si="19"/>
        <v>0</v>
      </c>
    </row>
    <row r="201" spans="4:9" x14ac:dyDescent="0.45">
      <c r="D201" t="str">
        <f t="shared" si="15"/>
        <v>&lt;=150</v>
      </c>
      <c r="E201">
        <f t="shared" si="16"/>
        <v>0</v>
      </c>
      <c r="F201" s="1" t="e">
        <f>INDEX('App-Click Conversion by Rank'!$K$12:$S$31,MATCH(E201,'App-Click Conversion by Rank'!$J$12:$J$31,0),MATCH(D201,'App-Click Conversion by Rank'!$K$11:$S$11,0))</f>
        <v>#N/A</v>
      </c>
      <c r="G201" s="3" t="e">
        <f t="shared" si="17"/>
        <v>#N/A</v>
      </c>
      <c r="H201" s="5" t="e">
        <f t="shared" si="18"/>
        <v>#N/A</v>
      </c>
      <c r="I201">
        <f t="shared" si="19"/>
        <v>0</v>
      </c>
    </row>
    <row r="202" spans="4:9" x14ac:dyDescent="0.45">
      <c r="D202" t="str">
        <f t="shared" si="15"/>
        <v>&lt;=150</v>
      </c>
      <c r="E202">
        <f t="shared" si="16"/>
        <v>0</v>
      </c>
      <c r="F202" s="1" t="e">
        <f>INDEX('App-Click Conversion by Rank'!$K$12:$S$31,MATCH(E202,'App-Click Conversion by Rank'!$J$12:$J$31,0),MATCH(D202,'App-Click Conversion by Rank'!$K$11:$S$11,0))</f>
        <v>#N/A</v>
      </c>
      <c r="G202" s="3" t="e">
        <f t="shared" si="17"/>
        <v>#N/A</v>
      </c>
      <c r="H202" s="5" t="e">
        <f t="shared" si="18"/>
        <v>#N/A</v>
      </c>
      <c r="I202">
        <f t="shared" si="19"/>
        <v>0</v>
      </c>
    </row>
    <row r="203" spans="4:9" x14ac:dyDescent="0.45">
      <c r="D203" t="str">
        <f t="shared" si="15"/>
        <v>&lt;=150</v>
      </c>
      <c r="E203">
        <f t="shared" si="16"/>
        <v>0</v>
      </c>
      <c r="F203" s="1" t="e">
        <f>INDEX('App-Click Conversion by Rank'!$K$12:$S$31,MATCH(E203,'App-Click Conversion by Rank'!$J$12:$J$31,0),MATCH(D203,'App-Click Conversion by Rank'!$K$11:$S$11,0))</f>
        <v>#N/A</v>
      </c>
      <c r="G203" s="3" t="e">
        <f t="shared" si="17"/>
        <v>#N/A</v>
      </c>
      <c r="H203" s="5" t="e">
        <f t="shared" si="18"/>
        <v>#N/A</v>
      </c>
      <c r="I203">
        <f t="shared" si="19"/>
        <v>0</v>
      </c>
    </row>
    <row r="204" spans="4:9" x14ac:dyDescent="0.45">
      <c r="D204" t="str">
        <f t="shared" si="15"/>
        <v>&lt;=150</v>
      </c>
      <c r="E204">
        <f t="shared" si="16"/>
        <v>0</v>
      </c>
      <c r="F204" s="1" t="e">
        <f>INDEX('App-Click Conversion by Rank'!$K$12:$S$31,MATCH(E204,'App-Click Conversion by Rank'!$J$12:$J$31,0),MATCH(D204,'App-Click Conversion by Rank'!$K$11:$S$11,0))</f>
        <v>#N/A</v>
      </c>
      <c r="G204" s="3" t="e">
        <f t="shared" si="17"/>
        <v>#N/A</v>
      </c>
      <c r="H204" s="5" t="e">
        <f t="shared" si="18"/>
        <v>#N/A</v>
      </c>
      <c r="I204">
        <f t="shared" si="19"/>
        <v>0</v>
      </c>
    </row>
    <row r="205" spans="4:9" x14ac:dyDescent="0.45">
      <c r="D205" t="str">
        <f t="shared" si="15"/>
        <v>&lt;=150</v>
      </c>
      <c r="E205">
        <f t="shared" si="16"/>
        <v>0</v>
      </c>
      <c r="F205" s="1" t="e">
        <f>INDEX('App-Click Conversion by Rank'!$K$12:$S$31,MATCH(E205,'App-Click Conversion by Rank'!$J$12:$J$31,0),MATCH(D205,'App-Click Conversion by Rank'!$K$11:$S$11,0))</f>
        <v>#N/A</v>
      </c>
      <c r="G205" s="3" t="e">
        <f t="shared" si="17"/>
        <v>#N/A</v>
      </c>
      <c r="H205" s="5" t="e">
        <f t="shared" si="18"/>
        <v>#N/A</v>
      </c>
      <c r="I205">
        <f t="shared" si="19"/>
        <v>0</v>
      </c>
    </row>
    <row r="206" spans="4:9" x14ac:dyDescent="0.45">
      <c r="D206" t="str">
        <f t="shared" si="15"/>
        <v>&lt;=150</v>
      </c>
      <c r="E206">
        <f t="shared" si="16"/>
        <v>0</v>
      </c>
      <c r="F206" s="1" t="e">
        <f>INDEX('App-Click Conversion by Rank'!$K$12:$S$31,MATCH(E206,'App-Click Conversion by Rank'!$J$12:$J$31,0),MATCH(D206,'App-Click Conversion by Rank'!$K$11:$S$11,0))</f>
        <v>#N/A</v>
      </c>
      <c r="G206" s="3" t="e">
        <f t="shared" si="17"/>
        <v>#N/A</v>
      </c>
      <c r="H206" s="5" t="e">
        <f t="shared" si="18"/>
        <v>#N/A</v>
      </c>
      <c r="I206">
        <f t="shared" si="19"/>
        <v>0</v>
      </c>
    </row>
    <row r="207" spans="4:9" x14ac:dyDescent="0.45">
      <c r="D207" t="str">
        <f t="shared" si="15"/>
        <v>&lt;=150</v>
      </c>
      <c r="E207">
        <f t="shared" si="16"/>
        <v>0</v>
      </c>
      <c r="F207" s="1" t="e">
        <f>INDEX('App-Click Conversion by Rank'!$K$12:$S$31,MATCH(E207,'App-Click Conversion by Rank'!$J$12:$J$31,0),MATCH(D207,'App-Click Conversion by Rank'!$K$11:$S$11,0))</f>
        <v>#N/A</v>
      </c>
      <c r="G207" s="3" t="e">
        <f t="shared" si="17"/>
        <v>#N/A</v>
      </c>
      <c r="H207" s="5" t="e">
        <f t="shared" si="18"/>
        <v>#N/A</v>
      </c>
      <c r="I207">
        <f t="shared" si="19"/>
        <v>0</v>
      </c>
    </row>
    <row r="208" spans="4:9" x14ac:dyDescent="0.45">
      <c r="D208" t="str">
        <f t="shared" si="15"/>
        <v>&lt;=150</v>
      </c>
      <c r="E208">
        <f t="shared" si="16"/>
        <v>0</v>
      </c>
      <c r="F208" s="1" t="e">
        <f>INDEX('App-Click Conversion by Rank'!$K$12:$S$31,MATCH(E208,'App-Click Conversion by Rank'!$J$12:$J$31,0),MATCH(D208,'App-Click Conversion by Rank'!$K$11:$S$11,0))</f>
        <v>#N/A</v>
      </c>
      <c r="G208" s="3" t="e">
        <f t="shared" si="17"/>
        <v>#N/A</v>
      </c>
      <c r="H208" s="5" t="e">
        <f t="shared" si="18"/>
        <v>#N/A</v>
      </c>
      <c r="I208">
        <f t="shared" si="19"/>
        <v>0</v>
      </c>
    </row>
    <row r="209" spans="4:9" x14ac:dyDescent="0.45">
      <c r="D209" t="str">
        <f t="shared" si="15"/>
        <v>&lt;=150</v>
      </c>
      <c r="E209">
        <f t="shared" si="16"/>
        <v>0</v>
      </c>
      <c r="F209" s="1" t="e">
        <f>INDEX('App-Click Conversion by Rank'!$K$12:$S$31,MATCH(E209,'App-Click Conversion by Rank'!$J$12:$J$31,0),MATCH(D209,'App-Click Conversion by Rank'!$K$11:$S$11,0))</f>
        <v>#N/A</v>
      </c>
      <c r="G209" s="3" t="e">
        <f t="shared" si="17"/>
        <v>#N/A</v>
      </c>
      <c r="H209" s="5" t="e">
        <f t="shared" si="18"/>
        <v>#N/A</v>
      </c>
      <c r="I209">
        <f t="shared" si="19"/>
        <v>0</v>
      </c>
    </row>
    <row r="210" spans="4:9" x14ac:dyDescent="0.45">
      <c r="D210" t="str">
        <f t="shared" si="15"/>
        <v>&lt;=150</v>
      </c>
      <c r="E210">
        <f t="shared" si="16"/>
        <v>0</v>
      </c>
      <c r="F210" s="1" t="e">
        <f>INDEX('App-Click Conversion by Rank'!$K$12:$S$31,MATCH(E210,'App-Click Conversion by Rank'!$J$12:$J$31,0),MATCH(D210,'App-Click Conversion by Rank'!$K$11:$S$11,0))</f>
        <v>#N/A</v>
      </c>
      <c r="G210" s="3" t="e">
        <f t="shared" si="17"/>
        <v>#N/A</v>
      </c>
      <c r="H210" s="5" t="e">
        <f t="shared" si="18"/>
        <v>#N/A</v>
      </c>
      <c r="I210">
        <f t="shared" si="19"/>
        <v>0</v>
      </c>
    </row>
    <row r="211" spans="4:9" x14ac:dyDescent="0.45">
      <c r="D211" t="str">
        <f t="shared" si="15"/>
        <v>&lt;=150</v>
      </c>
      <c r="E211">
        <f t="shared" si="16"/>
        <v>0</v>
      </c>
      <c r="F211" s="1" t="e">
        <f>INDEX('App-Click Conversion by Rank'!$K$12:$S$31,MATCH(E211,'App-Click Conversion by Rank'!$J$12:$J$31,0),MATCH(D211,'App-Click Conversion by Rank'!$K$11:$S$11,0))</f>
        <v>#N/A</v>
      </c>
      <c r="G211" s="3" t="e">
        <f t="shared" si="17"/>
        <v>#N/A</v>
      </c>
      <c r="H211" s="5" t="e">
        <f t="shared" si="18"/>
        <v>#N/A</v>
      </c>
      <c r="I211">
        <f t="shared" si="19"/>
        <v>0</v>
      </c>
    </row>
    <row r="212" spans="4:9" x14ac:dyDescent="0.45">
      <c r="D212" t="str">
        <f t="shared" si="15"/>
        <v>&lt;=150</v>
      </c>
      <c r="E212">
        <f t="shared" si="16"/>
        <v>0</v>
      </c>
      <c r="F212" s="1" t="e">
        <f>INDEX('App-Click Conversion by Rank'!$K$12:$S$31,MATCH(E212,'App-Click Conversion by Rank'!$J$12:$J$31,0),MATCH(D212,'App-Click Conversion by Rank'!$K$11:$S$11,0))</f>
        <v>#N/A</v>
      </c>
      <c r="G212" s="3" t="e">
        <f t="shared" si="17"/>
        <v>#N/A</v>
      </c>
      <c r="H212" s="5" t="e">
        <f t="shared" si="18"/>
        <v>#N/A</v>
      </c>
      <c r="I212">
        <f t="shared" si="19"/>
        <v>0</v>
      </c>
    </row>
    <row r="213" spans="4:9" x14ac:dyDescent="0.45">
      <c r="D213" t="str">
        <f t="shared" si="15"/>
        <v>&lt;=150</v>
      </c>
      <c r="E213">
        <f t="shared" si="16"/>
        <v>0</v>
      </c>
      <c r="F213" s="1" t="e">
        <f>INDEX('App-Click Conversion by Rank'!$K$12:$S$31,MATCH(E213,'App-Click Conversion by Rank'!$J$12:$J$31,0),MATCH(D213,'App-Click Conversion by Rank'!$K$11:$S$11,0))</f>
        <v>#N/A</v>
      </c>
      <c r="G213" s="3" t="e">
        <f t="shared" si="17"/>
        <v>#N/A</v>
      </c>
      <c r="H213" s="5" t="e">
        <f t="shared" si="18"/>
        <v>#N/A</v>
      </c>
      <c r="I213">
        <f t="shared" si="19"/>
        <v>0</v>
      </c>
    </row>
    <row r="214" spans="4:9" x14ac:dyDescent="0.45">
      <c r="D214" t="str">
        <f t="shared" si="15"/>
        <v>&lt;=150</v>
      </c>
      <c r="E214">
        <f t="shared" si="16"/>
        <v>0</v>
      </c>
      <c r="F214" s="1" t="e">
        <f>INDEX('App-Click Conversion by Rank'!$K$12:$S$31,MATCH(E214,'App-Click Conversion by Rank'!$J$12:$J$31,0),MATCH(D214,'App-Click Conversion by Rank'!$K$11:$S$11,0))</f>
        <v>#N/A</v>
      </c>
      <c r="G214" s="3" t="e">
        <f t="shared" si="17"/>
        <v>#N/A</v>
      </c>
      <c r="H214" s="5" t="e">
        <f t="shared" si="18"/>
        <v>#N/A</v>
      </c>
      <c r="I214">
        <f t="shared" si="19"/>
        <v>0</v>
      </c>
    </row>
    <row r="215" spans="4:9" x14ac:dyDescent="0.45">
      <c r="D215" t="str">
        <f t="shared" si="15"/>
        <v>&lt;=150</v>
      </c>
      <c r="E215">
        <f t="shared" si="16"/>
        <v>0</v>
      </c>
      <c r="F215" s="1" t="e">
        <f>INDEX('App-Click Conversion by Rank'!$K$12:$S$31,MATCH(E215,'App-Click Conversion by Rank'!$J$12:$J$31,0),MATCH(D215,'App-Click Conversion by Rank'!$K$11:$S$11,0))</f>
        <v>#N/A</v>
      </c>
      <c r="G215" s="3" t="e">
        <f t="shared" si="17"/>
        <v>#N/A</v>
      </c>
      <c r="H215" s="5" t="e">
        <f t="shared" si="18"/>
        <v>#N/A</v>
      </c>
      <c r="I215">
        <f t="shared" si="19"/>
        <v>0</v>
      </c>
    </row>
    <row r="216" spans="4:9" x14ac:dyDescent="0.45">
      <c r="D216" t="str">
        <f t="shared" si="15"/>
        <v>&lt;=150</v>
      </c>
      <c r="E216">
        <f t="shared" si="16"/>
        <v>0</v>
      </c>
      <c r="F216" s="1" t="e">
        <f>INDEX('App-Click Conversion by Rank'!$K$12:$S$31,MATCH(E216,'App-Click Conversion by Rank'!$J$12:$J$31,0),MATCH(D216,'App-Click Conversion by Rank'!$K$11:$S$11,0))</f>
        <v>#N/A</v>
      </c>
      <c r="G216" s="3" t="e">
        <f t="shared" si="17"/>
        <v>#N/A</v>
      </c>
      <c r="H216" s="5" t="e">
        <f t="shared" si="18"/>
        <v>#N/A</v>
      </c>
      <c r="I216">
        <f t="shared" si="19"/>
        <v>0</v>
      </c>
    </row>
    <row r="217" spans="4:9" x14ac:dyDescent="0.45">
      <c r="D217" t="str">
        <f t="shared" si="15"/>
        <v>&lt;=150</v>
      </c>
      <c r="E217">
        <f t="shared" si="16"/>
        <v>0</v>
      </c>
      <c r="F217" s="1" t="e">
        <f>INDEX('App-Click Conversion by Rank'!$K$12:$S$31,MATCH(E217,'App-Click Conversion by Rank'!$J$12:$J$31,0),MATCH(D217,'App-Click Conversion by Rank'!$K$11:$S$11,0))</f>
        <v>#N/A</v>
      </c>
      <c r="G217" s="3" t="e">
        <f t="shared" si="17"/>
        <v>#N/A</v>
      </c>
      <c r="H217" s="5" t="e">
        <f t="shared" si="18"/>
        <v>#N/A</v>
      </c>
      <c r="I217">
        <f t="shared" si="19"/>
        <v>0</v>
      </c>
    </row>
    <row r="218" spans="4:9" x14ac:dyDescent="0.45">
      <c r="D218" t="str">
        <f t="shared" si="15"/>
        <v>&lt;=150</v>
      </c>
      <c r="E218">
        <f t="shared" si="16"/>
        <v>0</v>
      </c>
      <c r="F218" s="1" t="e">
        <f>INDEX('App-Click Conversion by Rank'!$K$12:$S$31,MATCH(E218,'App-Click Conversion by Rank'!$J$12:$J$31,0),MATCH(D218,'App-Click Conversion by Rank'!$K$11:$S$11,0))</f>
        <v>#N/A</v>
      </c>
      <c r="G218" s="3" t="e">
        <f t="shared" si="17"/>
        <v>#N/A</v>
      </c>
      <c r="H218" s="5" t="e">
        <f t="shared" si="18"/>
        <v>#N/A</v>
      </c>
      <c r="I218">
        <f t="shared" si="19"/>
        <v>0</v>
      </c>
    </row>
    <row r="219" spans="4:9" x14ac:dyDescent="0.45">
      <c r="D219" t="str">
        <f t="shared" si="15"/>
        <v>&lt;=150</v>
      </c>
      <c r="E219">
        <f t="shared" si="16"/>
        <v>0</v>
      </c>
      <c r="F219" s="1" t="e">
        <f>INDEX('App-Click Conversion by Rank'!$K$12:$S$31,MATCH(E219,'App-Click Conversion by Rank'!$J$12:$J$31,0),MATCH(D219,'App-Click Conversion by Rank'!$K$11:$S$11,0))</f>
        <v>#N/A</v>
      </c>
      <c r="G219" s="3" t="e">
        <f t="shared" si="17"/>
        <v>#N/A</v>
      </c>
      <c r="H219" s="5" t="e">
        <f t="shared" si="18"/>
        <v>#N/A</v>
      </c>
      <c r="I219">
        <f t="shared" si="19"/>
        <v>0</v>
      </c>
    </row>
    <row r="220" spans="4:9" x14ac:dyDescent="0.45">
      <c r="D220" t="str">
        <f t="shared" si="15"/>
        <v>&lt;=150</v>
      </c>
      <c r="E220">
        <f t="shared" si="16"/>
        <v>0</v>
      </c>
      <c r="F220" s="1" t="e">
        <f>INDEX('App-Click Conversion by Rank'!$K$12:$S$31,MATCH(E220,'App-Click Conversion by Rank'!$J$12:$J$31,0),MATCH(D220,'App-Click Conversion by Rank'!$K$11:$S$11,0))</f>
        <v>#N/A</v>
      </c>
      <c r="G220" s="3" t="e">
        <f t="shared" si="17"/>
        <v>#N/A</v>
      </c>
      <c r="H220" s="5" t="e">
        <f t="shared" si="18"/>
        <v>#N/A</v>
      </c>
      <c r="I220">
        <f t="shared" si="19"/>
        <v>0</v>
      </c>
    </row>
    <row r="221" spans="4:9" x14ac:dyDescent="0.45">
      <c r="D221" t="str">
        <f t="shared" si="15"/>
        <v>&lt;=150</v>
      </c>
      <c r="E221">
        <f t="shared" si="16"/>
        <v>0</v>
      </c>
      <c r="F221" s="1" t="e">
        <f>INDEX('App-Click Conversion by Rank'!$K$12:$S$31,MATCH(E221,'App-Click Conversion by Rank'!$J$12:$J$31,0),MATCH(D221,'App-Click Conversion by Rank'!$K$11:$S$11,0))</f>
        <v>#N/A</v>
      </c>
      <c r="G221" s="3" t="e">
        <f t="shared" si="17"/>
        <v>#N/A</v>
      </c>
      <c r="H221" s="5" t="e">
        <f t="shared" si="18"/>
        <v>#N/A</v>
      </c>
      <c r="I221">
        <f t="shared" si="19"/>
        <v>0</v>
      </c>
    </row>
    <row r="222" spans="4:9" x14ac:dyDescent="0.45">
      <c r="D222" t="str">
        <f t="shared" si="15"/>
        <v>&lt;=150</v>
      </c>
      <c r="E222">
        <f t="shared" si="16"/>
        <v>0</v>
      </c>
      <c r="F222" s="1" t="e">
        <f>INDEX('App-Click Conversion by Rank'!$K$12:$S$31,MATCH(E222,'App-Click Conversion by Rank'!$J$12:$J$31,0),MATCH(D222,'App-Click Conversion by Rank'!$K$11:$S$11,0))</f>
        <v>#N/A</v>
      </c>
      <c r="G222" s="3" t="e">
        <f t="shared" si="17"/>
        <v>#N/A</v>
      </c>
      <c r="H222" s="5" t="e">
        <f t="shared" si="18"/>
        <v>#N/A</v>
      </c>
      <c r="I222">
        <f t="shared" si="19"/>
        <v>0</v>
      </c>
    </row>
    <row r="223" spans="4:9" x14ac:dyDescent="0.45">
      <c r="D223" t="str">
        <f t="shared" si="15"/>
        <v>&lt;=150</v>
      </c>
      <c r="E223">
        <f t="shared" si="16"/>
        <v>0</v>
      </c>
      <c r="F223" s="1" t="e">
        <f>INDEX('App-Click Conversion by Rank'!$K$12:$S$31,MATCH(E223,'App-Click Conversion by Rank'!$J$12:$J$31,0),MATCH(D223,'App-Click Conversion by Rank'!$K$11:$S$11,0))</f>
        <v>#N/A</v>
      </c>
      <c r="G223" s="3" t="e">
        <f t="shared" si="17"/>
        <v>#N/A</v>
      </c>
      <c r="H223" s="5" t="e">
        <f t="shared" si="18"/>
        <v>#N/A</v>
      </c>
      <c r="I223">
        <f t="shared" si="19"/>
        <v>0</v>
      </c>
    </row>
    <row r="224" spans="4:9" x14ac:dyDescent="0.45">
      <c r="D224" t="str">
        <f t="shared" si="15"/>
        <v>&lt;=150</v>
      </c>
      <c r="E224">
        <f t="shared" si="16"/>
        <v>0</v>
      </c>
      <c r="F224" s="1" t="e">
        <f>INDEX('App-Click Conversion by Rank'!$K$12:$S$31,MATCH(E224,'App-Click Conversion by Rank'!$J$12:$J$31,0),MATCH(D224,'App-Click Conversion by Rank'!$K$11:$S$11,0))</f>
        <v>#N/A</v>
      </c>
      <c r="G224" s="3" t="e">
        <f t="shared" si="17"/>
        <v>#N/A</v>
      </c>
      <c r="H224" s="5" t="e">
        <f t="shared" si="18"/>
        <v>#N/A</v>
      </c>
      <c r="I224">
        <f t="shared" si="19"/>
        <v>0</v>
      </c>
    </row>
    <row r="225" spans="4:9" x14ac:dyDescent="0.45">
      <c r="D225" t="str">
        <f t="shared" si="15"/>
        <v>&lt;=150</v>
      </c>
      <c r="E225">
        <f t="shared" si="16"/>
        <v>0</v>
      </c>
      <c r="F225" s="1" t="e">
        <f>INDEX('App-Click Conversion by Rank'!$K$12:$S$31,MATCH(E225,'App-Click Conversion by Rank'!$J$12:$J$31,0),MATCH(D225,'App-Click Conversion by Rank'!$K$11:$S$11,0))</f>
        <v>#N/A</v>
      </c>
      <c r="G225" s="3" t="e">
        <f t="shared" si="17"/>
        <v>#N/A</v>
      </c>
      <c r="H225" s="5" t="e">
        <f t="shared" si="18"/>
        <v>#N/A</v>
      </c>
      <c r="I225">
        <f t="shared" si="19"/>
        <v>0</v>
      </c>
    </row>
    <row r="226" spans="4:9" x14ac:dyDescent="0.45">
      <c r="D226" t="str">
        <f t="shared" si="15"/>
        <v>&lt;=150</v>
      </c>
      <c r="E226">
        <f t="shared" si="16"/>
        <v>0</v>
      </c>
      <c r="F226" s="1" t="e">
        <f>INDEX('App-Click Conversion by Rank'!$K$12:$S$31,MATCH(E226,'App-Click Conversion by Rank'!$J$12:$J$31,0),MATCH(D226,'App-Click Conversion by Rank'!$K$11:$S$11,0))</f>
        <v>#N/A</v>
      </c>
      <c r="G226" s="3" t="e">
        <f t="shared" si="17"/>
        <v>#N/A</v>
      </c>
      <c r="H226" s="5" t="e">
        <f t="shared" si="18"/>
        <v>#N/A</v>
      </c>
      <c r="I226">
        <f t="shared" si="19"/>
        <v>0</v>
      </c>
    </row>
    <row r="227" spans="4:9" x14ac:dyDescent="0.45">
      <c r="D227" t="str">
        <f t="shared" si="15"/>
        <v>&lt;=150</v>
      </c>
      <c r="E227">
        <f t="shared" si="16"/>
        <v>0</v>
      </c>
      <c r="F227" s="1" t="e">
        <f>INDEX('App-Click Conversion by Rank'!$K$12:$S$31,MATCH(E227,'App-Click Conversion by Rank'!$J$12:$J$31,0),MATCH(D227,'App-Click Conversion by Rank'!$K$11:$S$11,0))</f>
        <v>#N/A</v>
      </c>
      <c r="G227" s="3" t="e">
        <f t="shared" si="17"/>
        <v>#N/A</v>
      </c>
      <c r="H227" s="5" t="e">
        <f t="shared" si="18"/>
        <v>#N/A</v>
      </c>
      <c r="I227">
        <f t="shared" si="19"/>
        <v>0</v>
      </c>
    </row>
    <row r="228" spans="4:9" x14ac:dyDescent="0.45">
      <c r="D228" t="str">
        <f t="shared" si="15"/>
        <v>&lt;=150</v>
      </c>
      <c r="E228">
        <f t="shared" si="16"/>
        <v>0</v>
      </c>
      <c r="F228" s="1" t="e">
        <f>INDEX('App-Click Conversion by Rank'!$K$12:$S$31,MATCH(E228,'App-Click Conversion by Rank'!$J$12:$J$31,0),MATCH(D228,'App-Click Conversion by Rank'!$K$11:$S$11,0))</f>
        <v>#N/A</v>
      </c>
      <c r="G228" s="3" t="e">
        <f t="shared" si="17"/>
        <v>#N/A</v>
      </c>
      <c r="H228" s="5" t="e">
        <f t="shared" si="18"/>
        <v>#N/A</v>
      </c>
      <c r="I228">
        <f t="shared" si="19"/>
        <v>0</v>
      </c>
    </row>
    <row r="229" spans="4:9" x14ac:dyDescent="0.45">
      <c r="D229" t="str">
        <f t="shared" si="15"/>
        <v>&lt;=150</v>
      </c>
      <c r="E229">
        <f t="shared" si="16"/>
        <v>0</v>
      </c>
      <c r="F229" s="1" t="e">
        <f>INDEX('App-Click Conversion by Rank'!$K$12:$S$31,MATCH(E229,'App-Click Conversion by Rank'!$J$12:$J$31,0),MATCH(D229,'App-Click Conversion by Rank'!$K$11:$S$11,0))</f>
        <v>#N/A</v>
      </c>
      <c r="G229" s="3" t="e">
        <f t="shared" si="17"/>
        <v>#N/A</v>
      </c>
      <c r="H229" s="5" t="e">
        <f t="shared" si="18"/>
        <v>#N/A</v>
      </c>
      <c r="I229">
        <f t="shared" si="19"/>
        <v>0</v>
      </c>
    </row>
    <row r="230" spans="4:9" x14ac:dyDescent="0.45">
      <c r="D230" t="str">
        <f t="shared" si="15"/>
        <v>&lt;=150</v>
      </c>
      <c r="E230">
        <f t="shared" si="16"/>
        <v>0</v>
      </c>
      <c r="F230" s="1" t="e">
        <f>INDEX('App-Click Conversion by Rank'!$K$12:$S$31,MATCH(E230,'App-Click Conversion by Rank'!$J$12:$J$31,0),MATCH(D230,'App-Click Conversion by Rank'!$K$11:$S$11,0))</f>
        <v>#N/A</v>
      </c>
      <c r="G230" s="3" t="e">
        <f t="shared" si="17"/>
        <v>#N/A</v>
      </c>
      <c r="H230" s="5" t="e">
        <f t="shared" si="18"/>
        <v>#N/A</v>
      </c>
      <c r="I230">
        <f t="shared" si="19"/>
        <v>0</v>
      </c>
    </row>
    <row r="231" spans="4:9" x14ac:dyDescent="0.45">
      <c r="D231" t="str">
        <f t="shared" si="15"/>
        <v>&lt;=150</v>
      </c>
      <c r="E231">
        <f t="shared" si="16"/>
        <v>0</v>
      </c>
      <c r="F231" s="1" t="e">
        <f>INDEX('App-Click Conversion by Rank'!$K$12:$S$31,MATCH(E231,'App-Click Conversion by Rank'!$J$12:$J$31,0),MATCH(D231,'App-Click Conversion by Rank'!$K$11:$S$11,0))</f>
        <v>#N/A</v>
      </c>
      <c r="G231" s="3" t="e">
        <f t="shared" si="17"/>
        <v>#N/A</v>
      </c>
      <c r="H231" s="5" t="e">
        <f t="shared" si="18"/>
        <v>#N/A</v>
      </c>
      <c r="I231">
        <f t="shared" si="19"/>
        <v>0</v>
      </c>
    </row>
    <row r="232" spans="4:9" x14ac:dyDescent="0.45">
      <c r="D232" t="str">
        <f t="shared" si="15"/>
        <v>&lt;=150</v>
      </c>
      <c r="E232">
        <f t="shared" si="16"/>
        <v>0</v>
      </c>
      <c r="F232" s="1" t="e">
        <f>INDEX('App-Click Conversion by Rank'!$K$12:$S$31,MATCH(E232,'App-Click Conversion by Rank'!$J$12:$J$31,0),MATCH(D232,'App-Click Conversion by Rank'!$K$11:$S$11,0))</f>
        <v>#N/A</v>
      </c>
      <c r="G232" s="3" t="e">
        <f t="shared" si="17"/>
        <v>#N/A</v>
      </c>
      <c r="H232" s="5" t="e">
        <f t="shared" si="18"/>
        <v>#N/A</v>
      </c>
      <c r="I232">
        <f t="shared" si="19"/>
        <v>0</v>
      </c>
    </row>
    <row r="233" spans="4:9" x14ac:dyDescent="0.45">
      <c r="D233" t="str">
        <f t="shared" si="15"/>
        <v>&lt;=150</v>
      </c>
      <c r="E233">
        <f t="shared" si="16"/>
        <v>0</v>
      </c>
      <c r="F233" s="1" t="e">
        <f>INDEX('App-Click Conversion by Rank'!$K$12:$S$31,MATCH(E233,'App-Click Conversion by Rank'!$J$12:$J$31,0),MATCH(D233,'App-Click Conversion by Rank'!$K$11:$S$11,0))</f>
        <v>#N/A</v>
      </c>
      <c r="G233" s="3" t="e">
        <f t="shared" si="17"/>
        <v>#N/A</v>
      </c>
      <c r="H233" s="5" t="e">
        <f t="shared" si="18"/>
        <v>#N/A</v>
      </c>
      <c r="I233">
        <f t="shared" si="19"/>
        <v>0</v>
      </c>
    </row>
    <row r="234" spans="4:9" x14ac:dyDescent="0.45">
      <c r="D234" t="str">
        <f t="shared" si="15"/>
        <v>&lt;=150</v>
      </c>
      <c r="E234">
        <f t="shared" si="16"/>
        <v>0</v>
      </c>
      <c r="F234" s="1" t="e">
        <f>INDEX('App-Click Conversion by Rank'!$K$12:$S$31,MATCH(E234,'App-Click Conversion by Rank'!$J$12:$J$31,0),MATCH(D234,'App-Click Conversion by Rank'!$K$11:$S$11,0))</f>
        <v>#N/A</v>
      </c>
      <c r="G234" s="3" t="e">
        <f t="shared" si="17"/>
        <v>#N/A</v>
      </c>
      <c r="H234" s="5" t="e">
        <f t="shared" si="18"/>
        <v>#N/A</v>
      </c>
      <c r="I234">
        <f t="shared" si="19"/>
        <v>0</v>
      </c>
    </row>
    <row r="235" spans="4:9" x14ac:dyDescent="0.45">
      <c r="D235" t="str">
        <f t="shared" si="15"/>
        <v>&lt;=150</v>
      </c>
      <c r="E235">
        <f t="shared" si="16"/>
        <v>0</v>
      </c>
      <c r="F235" s="1" t="e">
        <f>INDEX('App-Click Conversion by Rank'!$K$12:$S$31,MATCH(E235,'App-Click Conversion by Rank'!$J$12:$J$31,0),MATCH(D235,'App-Click Conversion by Rank'!$K$11:$S$11,0))</f>
        <v>#N/A</v>
      </c>
      <c r="G235" s="3" t="e">
        <f t="shared" si="17"/>
        <v>#N/A</v>
      </c>
      <c r="H235" s="5" t="e">
        <f t="shared" si="18"/>
        <v>#N/A</v>
      </c>
      <c r="I235">
        <f t="shared" si="19"/>
        <v>0</v>
      </c>
    </row>
    <row r="236" spans="4:9" x14ac:dyDescent="0.45">
      <c r="D236" t="str">
        <f t="shared" si="15"/>
        <v>&lt;=150</v>
      </c>
      <c r="E236">
        <f t="shared" si="16"/>
        <v>0</v>
      </c>
      <c r="F236" s="1" t="e">
        <f>INDEX('App-Click Conversion by Rank'!$K$12:$S$31,MATCH(E236,'App-Click Conversion by Rank'!$J$12:$J$31,0),MATCH(D236,'App-Click Conversion by Rank'!$K$11:$S$11,0))</f>
        <v>#N/A</v>
      </c>
      <c r="G236" s="3" t="e">
        <f t="shared" si="17"/>
        <v>#N/A</v>
      </c>
      <c r="H236" s="5" t="e">
        <f t="shared" si="18"/>
        <v>#N/A</v>
      </c>
      <c r="I236">
        <f t="shared" si="19"/>
        <v>0</v>
      </c>
    </row>
    <row r="237" spans="4:9" x14ac:dyDescent="0.45">
      <c r="D237" t="str">
        <f t="shared" si="15"/>
        <v>&lt;=150</v>
      </c>
      <c r="E237">
        <f t="shared" si="16"/>
        <v>0</v>
      </c>
      <c r="F237" s="1" t="e">
        <f>INDEX('App-Click Conversion by Rank'!$K$12:$S$31,MATCH(E237,'App-Click Conversion by Rank'!$J$12:$J$31,0),MATCH(D237,'App-Click Conversion by Rank'!$K$11:$S$11,0))</f>
        <v>#N/A</v>
      </c>
      <c r="G237" s="3" t="e">
        <f t="shared" si="17"/>
        <v>#N/A</v>
      </c>
      <c r="H237" s="5" t="e">
        <f t="shared" si="18"/>
        <v>#N/A</v>
      </c>
      <c r="I237">
        <f t="shared" si="19"/>
        <v>0</v>
      </c>
    </row>
    <row r="238" spans="4:9" x14ac:dyDescent="0.45">
      <c r="D238" t="str">
        <f t="shared" si="15"/>
        <v>&lt;=150</v>
      </c>
      <c r="E238">
        <f t="shared" si="16"/>
        <v>0</v>
      </c>
      <c r="F238" s="1" t="e">
        <f>INDEX('App-Click Conversion by Rank'!$K$12:$S$31,MATCH(E238,'App-Click Conversion by Rank'!$J$12:$J$31,0),MATCH(D238,'App-Click Conversion by Rank'!$K$11:$S$11,0))</f>
        <v>#N/A</v>
      </c>
      <c r="G238" s="3" t="e">
        <f t="shared" si="17"/>
        <v>#N/A</v>
      </c>
      <c r="H238" s="5" t="e">
        <f t="shared" si="18"/>
        <v>#N/A</v>
      </c>
      <c r="I238">
        <f t="shared" si="19"/>
        <v>0</v>
      </c>
    </row>
    <row r="239" spans="4:9" x14ac:dyDescent="0.45">
      <c r="D239" t="str">
        <f t="shared" si="15"/>
        <v>&lt;=150</v>
      </c>
      <c r="E239">
        <f t="shared" si="16"/>
        <v>0</v>
      </c>
      <c r="F239" s="1" t="e">
        <f>INDEX('App-Click Conversion by Rank'!$K$12:$S$31,MATCH(E239,'App-Click Conversion by Rank'!$J$12:$J$31,0),MATCH(D239,'App-Click Conversion by Rank'!$K$11:$S$11,0))</f>
        <v>#N/A</v>
      </c>
      <c r="G239" s="3" t="e">
        <f t="shared" si="17"/>
        <v>#N/A</v>
      </c>
      <c r="H239" s="5" t="e">
        <f t="shared" si="18"/>
        <v>#N/A</v>
      </c>
      <c r="I239">
        <f t="shared" si="19"/>
        <v>0</v>
      </c>
    </row>
    <row r="240" spans="4:9" x14ac:dyDescent="0.45">
      <c r="D240" t="str">
        <f t="shared" si="15"/>
        <v>&lt;=150</v>
      </c>
      <c r="E240">
        <f t="shared" si="16"/>
        <v>0</v>
      </c>
      <c r="F240" s="1" t="e">
        <f>INDEX('App-Click Conversion by Rank'!$K$12:$S$31,MATCH(E240,'App-Click Conversion by Rank'!$J$12:$J$31,0),MATCH(D240,'App-Click Conversion by Rank'!$K$11:$S$11,0))</f>
        <v>#N/A</v>
      </c>
      <c r="G240" s="3" t="e">
        <f t="shared" si="17"/>
        <v>#N/A</v>
      </c>
      <c r="H240" s="5" t="e">
        <f t="shared" si="18"/>
        <v>#N/A</v>
      </c>
      <c r="I240">
        <f t="shared" si="19"/>
        <v>0</v>
      </c>
    </row>
    <row r="241" spans="4:9" x14ac:dyDescent="0.45">
      <c r="D241" t="str">
        <f t="shared" si="15"/>
        <v>&lt;=150</v>
      </c>
      <c r="E241">
        <f t="shared" si="16"/>
        <v>0</v>
      </c>
      <c r="F241" s="1" t="e">
        <f>INDEX('App-Click Conversion by Rank'!$K$12:$S$31,MATCH(E241,'App-Click Conversion by Rank'!$J$12:$J$31,0),MATCH(D241,'App-Click Conversion by Rank'!$K$11:$S$11,0))</f>
        <v>#N/A</v>
      </c>
      <c r="G241" s="3" t="e">
        <f t="shared" si="17"/>
        <v>#N/A</v>
      </c>
      <c r="H241" s="5" t="e">
        <f t="shared" si="18"/>
        <v>#N/A</v>
      </c>
      <c r="I241">
        <f t="shared" si="19"/>
        <v>0</v>
      </c>
    </row>
    <row r="242" spans="4:9" x14ac:dyDescent="0.45">
      <c r="D242" t="str">
        <f t="shared" si="15"/>
        <v>&lt;=150</v>
      </c>
      <c r="E242">
        <f t="shared" si="16"/>
        <v>0</v>
      </c>
      <c r="F242" s="1" t="e">
        <f>INDEX('App-Click Conversion by Rank'!$K$12:$S$31,MATCH(E242,'App-Click Conversion by Rank'!$J$12:$J$31,0),MATCH(D242,'App-Click Conversion by Rank'!$K$11:$S$11,0))</f>
        <v>#N/A</v>
      </c>
      <c r="G242" s="3" t="e">
        <f t="shared" si="17"/>
        <v>#N/A</v>
      </c>
      <c r="H242" s="5" t="e">
        <f t="shared" si="18"/>
        <v>#N/A</v>
      </c>
      <c r="I242">
        <f t="shared" si="19"/>
        <v>0</v>
      </c>
    </row>
    <row r="243" spans="4:9" x14ac:dyDescent="0.45">
      <c r="D243" t="str">
        <f t="shared" si="15"/>
        <v>&lt;=150</v>
      </c>
      <c r="E243">
        <f t="shared" si="16"/>
        <v>0</v>
      </c>
      <c r="F243" s="1" t="e">
        <f>INDEX('App-Click Conversion by Rank'!$K$12:$S$31,MATCH(E243,'App-Click Conversion by Rank'!$J$12:$J$31,0),MATCH(D243,'App-Click Conversion by Rank'!$K$11:$S$11,0))</f>
        <v>#N/A</v>
      </c>
      <c r="G243" s="3" t="e">
        <f t="shared" si="17"/>
        <v>#N/A</v>
      </c>
      <c r="H243" s="5" t="e">
        <f t="shared" si="18"/>
        <v>#N/A</v>
      </c>
      <c r="I243">
        <f t="shared" si="19"/>
        <v>0</v>
      </c>
    </row>
    <row r="244" spans="4:9" x14ac:dyDescent="0.45">
      <c r="D244" t="str">
        <f t="shared" si="15"/>
        <v>&lt;=150</v>
      </c>
      <c r="E244">
        <f t="shared" si="16"/>
        <v>0</v>
      </c>
      <c r="F244" s="1" t="e">
        <f>INDEX('App-Click Conversion by Rank'!$K$12:$S$31,MATCH(E244,'App-Click Conversion by Rank'!$J$12:$J$31,0),MATCH(D244,'App-Click Conversion by Rank'!$K$11:$S$11,0))</f>
        <v>#N/A</v>
      </c>
      <c r="G244" s="3" t="e">
        <f t="shared" si="17"/>
        <v>#N/A</v>
      </c>
      <c r="H244" s="5" t="e">
        <f t="shared" si="18"/>
        <v>#N/A</v>
      </c>
      <c r="I244">
        <f t="shared" si="19"/>
        <v>0</v>
      </c>
    </row>
    <row r="245" spans="4:9" x14ac:dyDescent="0.45">
      <c r="D245" t="str">
        <f t="shared" si="15"/>
        <v>&lt;=150</v>
      </c>
      <c r="E245">
        <f t="shared" si="16"/>
        <v>0</v>
      </c>
      <c r="F245" s="1" t="e">
        <f>INDEX('App-Click Conversion by Rank'!$K$12:$S$31,MATCH(E245,'App-Click Conversion by Rank'!$J$12:$J$31,0),MATCH(D245,'App-Click Conversion by Rank'!$K$11:$S$11,0))</f>
        <v>#N/A</v>
      </c>
      <c r="G245" s="3" t="e">
        <f t="shared" si="17"/>
        <v>#N/A</v>
      </c>
      <c r="H245" s="5" t="e">
        <f t="shared" si="18"/>
        <v>#N/A</v>
      </c>
      <c r="I245">
        <f t="shared" si="19"/>
        <v>0</v>
      </c>
    </row>
    <row r="246" spans="4:9" x14ac:dyDescent="0.45">
      <c r="D246" t="str">
        <f t="shared" si="15"/>
        <v>&lt;=150</v>
      </c>
      <c r="E246">
        <f t="shared" si="16"/>
        <v>0</v>
      </c>
      <c r="F246" s="1" t="e">
        <f>INDEX('App-Click Conversion by Rank'!$K$12:$S$31,MATCH(E246,'App-Click Conversion by Rank'!$J$12:$J$31,0),MATCH(D246,'App-Click Conversion by Rank'!$K$11:$S$11,0))</f>
        <v>#N/A</v>
      </c>
      <c r="G246" s="3" t="e">
        <f t="shared" si="17"/>
        <v>#N/A</v>
      </c>
      <c r="H246" s="5" t="e">
        <f t="shared" si="18"/>
        <v>#N/A</v>
      </c>
      <c r="I246">
        <f t="shared" si="19"/>
        <v>0</v>
      </c>
    </row>
    <row r="247" spans="4:9" x14ac:dyDescent="0.45">
      <c r="D247" t="str">
        <f t="shared" si="15"/>
        <v>&lt;=150</v>
      </c>
      <c r="E247">
        <f t="shared" si="16"/>
        <v>0</v>
      </c>
      <c r="F247" s="1" t="e">
        <f>INDEX('App-Click Conversion by Rank'!$K$12:$S$31,MATCH(E247,'App-Click Conversion by Rank'!$J$12:$J$31,0),MATCH(D247,'App-Click Conversion by Rank'!$K$11:$S$11,0))</f>
        <v>#N/A</v>
      </c>
      <c r="G247" s="3" t="e">
        <f t="shared" si="17"/>
        <v>#N/A</v>
      </c>
      <c r="H247" s="5" t="e">
        <f t="shared" si="18"/>
        <v>#N/A</v>
      </c>
      <c r="I247">
        <f t="shared" si="19"/>
        <v>0</v>
      </c>
    </row>
    <row r="248" spans="4:9" x14ac:dyDescent="0.45">
      <c r="D248" t="str">
        <f t="shared" si="15"/>
        <v>&lt;=150</v>
      </c>
      <c r="E248">
        <f t="shared" si="16"/>
        <v>0</v>
      </c>
      <c r="F248" s="1" t="e">
        <f>INDEX('App-Click Conversion by Rank'!$K$12:$S$31,MATCH(E248,'App-Click Conversion by Rank'!$J$12:$J$31,0),MATCH(D248,'App-Click Conversion by Rank'!$K$11:$S$11,0))</f>
        <v>#N/A</v>
      </c>
      <c r="G248" s="3" t="e">
        <f t="shared" si="17"/>
        <v>#N/A</v>
      </c>
      <c r="H248" s="5" t="e">
        <f t="shared" si="18"/>
        <v>#N/A</v>
      </c>
      <c r="I248">
        <f t="shared" si="19"/>
        <v>0</v>
      </c>
    </row>
    <row r="249" spans="4:9" x14ac:dyDescent="0.45">
      <c r="D249" t="str">
        <f t="shared" si="15"/>
        <v>&lt;=150</v>
      </c>
      <c r="E249">
        <f t="shared" si="16"/>
        <v>0</v>
      </c>
      <c r="F249" s="1" t="e">
        <f>INDEX('App-Click Conversion by Rank'!$K$12:$S$31,MATCH(E249,'App-Click Conversion by Rank'!$J$12:$J$31,0),MATCH(D249,'App-Click Conversion by Rank'!$K$11:$S$11,0))</f>
        <v>#N/A</v>
      </c>
      <c r="G249" s="3" t="e">
        <f t="shared" si="17"/>
        <v>#N/A</v>
      </c>
      <c r="H249" s="5" t="e">
        <f t="shared" si="18"/>
        <v>#N/A</v>
      </c>
      <c r="I249">
        <f t="shared" si="19"/>
        <v>0</v>
      </c>
    </row>
    <row r="250" spans="4:9" x14ac:dyDescent="0.45">
      <c r="D250" t="str">
        <f t="shared" si="15"/>
        <v>&lt;=150</v>
      </c>
      <c r="E250">
        <f t="shared" si="16"/>
        <v>0</v>
      </c>
      <c r="F250" s="1" t="e">
        <f>INDEX('App-Click Conversion by Rank'!$K$12:$S$31,MATCH(E250,'App-Click Conversion by Rank'!$J$12:$J$31,0),MATCH(D250,'App-Click Conversion by Rank'!$K$11:$S$11,0))</f>
        <v>#N/A</v>
      </c>
      <c r="G250" s="3" t="e">
        <f t="shared" si="17"/>
        <v>#N/A</v>
      </c>
      <c r="H250" s="5" t="e">
        <f t="shared" si="18"/>
        <v>#N/A</v>
      </c>
      <c r="I250">
        <f t="shared" si="19"/>
        <v>0</v>
      </c>
    </row>
    <row r="251" spans="4:9" x14ac:dyDescent="0.45">
      <c r="D251" t="str">
        <f t="shared" si="15"/>
        <v>&lt;=150</v>
      </c>
      <c r="E251">
        <f t="shared" si="16"/>
        <v>0</v>
      </c>
      <c r="F251" s="1" t="e">
        <f>INDEX('App-Click Conversion by Rank'!$K$12:$S$31,MATCH(E251,'App-Click Conversion by Rank'!$J$12:$J$31,0),MATCH(D251,'App-Click Conversion by Rank'!$K$11:$S$11,0))</f>
        <v>#N/A</v>
      </c>
      <c r="G251" s="3" t="e">
        <f t="shared" si="17"/>
        <v>#N/A</v>
      </c>
      <c r="H251" s="5" t="e">
        <f t="shared" si="18"/>
        <v>#N/A</v>
      </c>
      <c r="I251">
        <f t="shared" si="19"/>
        <v>0</v>
      </c>
    </row>
    <row r="252" spans="4:9" x14ac:dyDescent="0.45">
      <c r="D252" t="str">
        <f t="shared" si="15"/>
        <v>&lt;=150</v>
      </c>
      <c r="E252">
        <f t="shared" si="16"/>
        <v>0</v>
      </c>
      <c r="F252" s="1" t="e">
        <f>INDEX('App-Click Conversion by Rank'!$K$12:$S$31,MATCH(E252,'App-Click Conversion by Rank'!$J$12:$J$31,0),MATCH(D252,'App-Click Conversion by Rank'!$K$11:$S$11,0))</f>
        <v>#N/A</v>
      </c>
      <c r="G252" s="3" t="e">
        <f t="shared" si="17"/>
        <v>#N/A</v>
      </c>
      <c r="H252" s="5" t="e">
        <f t="shared" si="18"/>
        <v>#N/A</v>
      </c>
      <c r="I252">
        <f t="shared" si="19"/>
        <v>0</v>
      </c>
    </row>
    <row r="253" spans="4:9" x14ac:dyDescent="0.45">
      <c r="D253" t="str">
        <f t="shared" si="15"/>
        <v>&lt;=150</v>
      </c>
      <c r="E253">
        <f t="shared" si="16"/>
        <v>0</v>
      </c>
      <c r="F253" s="1" t="e">
        <f>INDEX('App-Click Conversion by Rank'!$K$12:$S$31,MATCH(E253,'App-Click Conversion by Rank'!$J$12:$J$31,0),MATCH(D253,'App-Click Conversion by Rank'!$K$11:$S$11,0))</f>
        <v>#N/A</v>
      </c>
      <c r="G253" s="3" t="e">
        <f t="shared" si="17"/>
        <v>#N/A</v>
      </c>
      <c r="H253" s="5" t="e">
        <f t="shared" si="18"/>
        <v>#N/A</v>
      </c>
      <c r="I253">
        <f t="shared" si="19"/>
        <v>0</v>
      </c>
    </row>
    <row r="254" spans="4:9" x14ac:dyDescent="0.45">
      <c r="D254" t="str">
        <f t="shared" si="15"/>
        <v>&lt;=150</v>
      </c>
      <c r="E254">
        <f t="shared" si="16"/>
        <v>0</v>
      </c>
      <c r="F254" s="1" t="e">
        <f>INDEX('App-Click Conversion by Rank'!$K$12:$S$31,MATCH(E254,'App-Click Conversion by Rank'!$J$12:$J$31,0),MATCH(D254,'App-Click Conversion by Rank'!$K$11:$S$11,0))</f>
        <v>#N/A</v>
      </c>
      <c r="G254" s="3" t="e">
        <f t="shared" si="17"/>
        <v>#N/A</v>
      </c>
      <c r="H254" s="5" t="e">
        <f t="shared" si="18"/>
        <v>#N/A</v>
      </c>
      <c r="I254">
        <f t="shared" si="19"/>
        <v>0</v>
      </c>
    </row>
    <row r="255" spans="4:9" x14ac:dyDescent="0.45">
      <c r="D255" t="str">
        <f t="shared" si="15"/>
        <v>&lt;=150</v>
      </c>
      <c r="E255">
        <f t="shared" si="16"/>
        <v>0</v>
      </c>
      <c r="F255" s="1" t="e">
        <f>INDEX('App-Click Conversion by Rank'!$K$12:$S$31,MATCH(E255,'App-Click Conversion by Rank'!$J$12:$J$31,0),MATCH(D255,'App-Click Conversion by Rank'!$K$11:$S$11,0))</f>
        <v>#N/A</v>
      </c>
      <c r="G255" s="3" t="e">
        <f t="shared" si="17"/>
        <v>#N/A</v>
      </c>
      <c r="H255" s="5" t="e">
        <f t="shared" si="18"/>
        <v>#N/A</v>
      </c>
      <c r="I255">
        <f t="shared" si="19"/>
        <v>0</v>
      </c>
    </row>
    <row r="256" spans="4:9" x14ac:dyDescent="0.45">
      <c r="D256" t="str">
        <f t="shared" si="15"/>
        <v>&lt;=150</v>
      </c>
      <c r="E256">
        <f t="shared" si="16"/>
        <v>0</v>
      </c>
      <c r="F256" s="1" t="e">
        <f>INDEX('App-Click Conversion by Rank'!$K$12:$S$31,MATCH(E256,'App-Click Conversion by Rank'!$J$12:$J$31,0),MATCH(D256,'App-Click Conversion by Rank'!$K$11:$S$11,0))</f>
        <v>#N/A</v>
      </c>
      <c r="G256" s="3" t="e">
        <f t="shared" si="17"/>
        <v>#N/A</v>
      </c>
      <c r="H256" s="5" t="e">
        <f t="shared" si="18"/>
        <v>#N/A</v>
      </c>
      <c r="I256">
        <f t="shared" si="19"/>
        <v>0</v>
      </c>
    </row>
    <row r="257" spans="4:9" x14ac:dyDescent="0.45">
      <c r="D257" t="str">
        <f t="shared" si="15"/>
        <v>&lt;=150</v>
      </c>
      <c r="E257">
        <f t="shared" si="16"/>
        <v>0</v>
      </c>
      <c r="F257" s="1" t="e">
        <f>INDEX('App-Click Conversion by Rank'!$K$12:$S$31,MATCH(E257,'App-Click Conversion by Rank'!$J$12:$J$31,0),MATCH(D257,'App-Click Conversion by Rank'!$K$11:$S$11,0))</f>
        <v>#N/A</v>
      </c>
      <c r="G257" s="3" t="e">
        <f t="shared" si="17"/>
        <v>#N/A</v>
      </c>
      <c r="H257" s="5" t="e">
        <f t="shared" si="18"/>
        <v>#N/A</v>
      </c>
      <c r="I257">
        <f t="shared" si="19"/>
        <v>0</v>
      </c>
    </row>
    <row r="258" spans="4:9" x14ac:dyDescent="0.45">
      <c r="D258" t="str">
        <f t="shared" si="15"/>
        <v>&lt;=150</v>
      </c>
      <c r="E258">
        <f t="shared" si="16"/>
        <v>0</v>
      </c>
      <c r="F258" s="1" t="e">
        <f>INDEX('App-Click Conversion by Rank'!$K$12:$S$31,MATCH(E258,'App-Click Conversion by Rank'!$J$12:$J$31,0),MATCH(D258,'App-Click Conversion by Rank'!$K$11:$S$11,0))</f>
        <v>#N/A</v>
      </c>
      <c r="G258" s="3" t="e">
        <f t="shared" si="17"/>
        <v>#N/A</v>
      </c>
      <c r="H258" s="5" t="e">
        <f t="shared" si="18"/>
        <v>#N/A</v>
      </c>
      <c r="I258">
        <f t="shared" si="19"/>
        <v>0</v>
      </c>
    </row>
    <row r="259" spans="4:9" x14ac:dyDescent="0.45">
      <c r="D259" t="str">
        <f t="shared" ref="D259:D282" si="20">IF(B259&lt;=150,"&lt;=150",IF(B259&gt;500,"501+",B259))</f>
        <v>&lt;=150</v>
      </c>
      <c r="E259">
        <f t="shared" ref="E259:E282" si="21">IF(A259&gt;=20,"20+",A259)</f>
        <v>0</v>
      </c>
      <c r="F259" s="1" t="e">
        <f>INDEX('App-Click Conversion by Rank'!$K$12:$S$31,MATCH(E259,'App-Click Conversion by Rank'!$J$12:$J$31,0),MATCH(D259,'App-Click Conversion by Rank'!$K$11:$S$11,0))</f>
        <v>#N/A</v>
      </c>
      <c r="G259" s="3" t="e">
        <f t="shared" ref="G259:G282" si="22">C259*F259</f>
        <v>#N/A</v>
      </c>
      <c r="H259" s="5" t="e">
        <f t="shared" ref="H259:H282" si="23">G259*A259</f>
        <v>#N/A</v>
      </c>
      <c r="I259">
        <f t="shared" ref="I259:I282" si="24">C259*A259</f>
        <v>0</v>
      </c>
    </row>
    <row r="260" spans="4:9" x14ac:dyDescent="0.45">
      <c r="D260" t="str">
        <f t="shared" si="20"/>
        <v>&lt;=150</v>
      </c>
      <c r="E260">
        <f t="shared" si="21"/>
        <v>0</v>
      </c>
      <c r="F260" s="1" t="e">
        <f>INDEX('App-Click Conversion by Rank'!$K$12:$S$31,MATCH(E260,'App-Click Conversion by Rank'!$J$12:$J$31,0),MATCH(D260,'App-Click Conversion by Rank'!$K$11:$S$11,0))</f>
        <v>#N/A</v>
      </c>
      <c r="G260" s="3" t="e">
        <f t="shared" si="22"/>
        <v>#N/A</v>
      </c>
      <c r="H260" s="5" t="e">
        <f t="shared" si="23"/>
        <v>#N/A</v>
      </c>
      <c r="I260">
        <f t="shared" si="24"/>
        <v>0</v>
      </c>
    </row>
    <row r="261" spans="4:9" x14ac:dyDescent="0.45">
      <c r="D261" t="str">
        <f t="shared" si="20"/>
        <v>&lt;=150</v>
      </c>
      <c r="E261">
        <f t="shared" si="21"/>
        <v>0</v>
      </c>
      <c r="F261" s="1" t="e">
        <f>INDEX('App-Click Conversion by Rank'!$K$12:$S$31,MATCH(E261,'App-Click Conversion by Rank'!$J$12:$J$31,0),MATCH(D261,'App-Click Conversion by Rank'!$K$11:$S$11,0))</f>
        <v>#N/A</v>
      </c>
      <c r="G261" s="3" t="e">
        <f t="shared" si="22"/>
        <v>#N/A</v>
      </c>
      <c r="H261" s="5" t="e">
        <f t="shared" si="23"/>
        <v>#N/A</v>
      </c>
      <c r="I261">
        <f t="shared" si="24"/>
        <v>0</v>
      </c>
    </row>
    <row r="262" spans="4:9" x14ac:dyDescent="0.45">
      <c r="D262" t="str">
        <f t="shared" si="20"/>
        <v>&lt;=150</v>
      </c>
      <c r="E262">
        <f t="shared" si="21"/>
        <v>0</v>
      </c>
      <c r="F262" s="1" t="e">
        <f>INDEX('App-Click Conversion by Rank'!$K$12:$S$31,MATCH(E262,'App-Click Conversion by Rank'!$J$12:$J$31,0),MATCH(D262,'App-Click Conversion by Rank'!$K$11:$S$11,0))</f>
        <v>#N/A</v>
      </c>
      <c r="G262" s="3" t="e">
        <f t="shared" si="22"/>
        <v>#N/A</v>
      </c>
      <c r="H262" s="5" t="e">
        <f t="shared" si="23"/>
        <v>#N/A</v>
      </c>
      <c r="I262">
        <f t="shared" si="24"/>
        <v>0</v>
      </c>
    </row>
    <row r="263" spans="4:9" x14ac:dyDescent="0.45">
      <c r="D263" t="str">
        <f t="shared" si="20"/>
        <v>&lt;=150</v>
      </c>
      <c r="E263">
        <f t="shared" si="21"/>
        <v>0</v>
      </c>
      <c r="F263" s="1" t="e">
        <f>INDEX('App-Click Conversion by Rank'!$K$12:$S$31,MATCH(E263,'App-Click Conversion by Rank'!$J$12:$J$31,0),MATCH(D263,'App-Click Conversion by Rank'!$K$11:$S$11,0))</f>
        <v>#N/A</v>
      </c>
      <c r="G263" s="3" t="e">
        <f t="shared" si="22"/>
        <v>#N/A</v>
      </c>
      <c r="H263" s="5" t="e">
        <f t="shared" si="23"/>
        <v>#N/A</v>
      </c>
      <c r="I263">
        <f t="shared" si="24"/>
        <v>0</v>
      </c>
    </row>
    <row r="264" spans="4:9" x14ac:dyDescent="0.45">
      <c r="D264" t="str">
        <f t="shared" si="20"/>
        <v>&lt;=150</v>
      </c>
      <c r="E264">
        <f t="shared" si="21"/>
        <v>0</v>
      </c>
      <c r="F264" s="1" t="e">
        <f>INDEX('App-Click Conversion by Rank'!$K$12:$S$31,MATCH(E264,'App-Click Conversion by Rank'!$J$12:$J$31,0),MATCH(D264,'App-Click Conversion by Rank'!$K$11:$S$11,0))</f>
        <v>#N/A</v>
      </c>
      <c r="G264" s="3" t="e">
        <f t="shared" si="22"/>
        <v>#N/A</v>
      </c>
      <c r="H264" s="5" t="e">
        <f t="shared" si="23"/>
        <v>#N/A</v>
      </c>
      <c r="I264">
        <f t="shared" si="24"/>
        <v>0</v>
      </c>
    </row>
    <row r="265" spans="4:9" x14ac:dyDescent="0.45">
      <c r="D265" t="str">
        <f t="shared" si="20"/>
        <v>&lt;=150</v>
      </c>
      <c r="E265">
        <f t="shared" si="21"/>
        <v>0</v>
      </c>
      <c r="F265" s="1" t="e">
        <f>INDEX('App-Click Conversion by Rank'!$K$12:$S$31,MATCH(E265,'App-Click Conversion by Rank'!$J$12:$J$31,0),MATCH(D265,'App-Click Conversion by Rank'!$K$11:$S$11,0))</f>
        <v>#N/A</v>
      </c>
      <c r="G265" s="3" t="e">
        <f t="shared" si="22"/>
        <v>#N/A</v>
      </c>
      <c r="H265" s="5" t="e">
        <f t="shared" si="23"/>
        <v>#N/A</v>
      </c>
      <c r="I265">
        <f t="shared" si="24"/>
        <v>0</v>
      </c>
    </row>
    <row r="266" spans="4:9" x14ac:dyDescent="0.45">
      <c r="D266" t="str">
        <f t="shared" si="20"/>
        <v>&lt;=150</v>
      </c>
      <c r="E266">
        <f t="shared" si="21"/>
        <v>0</v>
      </c>
      <c r="F266" s="1" t="e">
        <f>INDEX('App-Click Conversion by Rank'!$K$12:$S$31,MATCH(E266,'App-Click Conversion by Rank'!$J$12:$J$31,0),MATCH(D266,'App-Click Conversion by Rank'!$K$11:$S$11,0))</f>
        <v>#N/A</v>
      </c>
      <c r="G266" s="3" t="e">
        <f t="shared" si="22"/>
        <v>#N/A</v>
      </c>
      <c r="H266" s="5" t="e">
        <f t="shared" si="23"/>
        <v>#N/A</v>
      </c>
      <c r="I266">
        <f t="shared" si="24"/>
        <v>0</v>
      </c>
    </row>
    <row r="267" spans="4:9" x14ac:dyDescent="0.45">
      <c r="D267" t="str">
        <f t="shared" si="20"/>
        <v>&lt;=150</v>
      </c>
      <c r="E267">
        <f t="shared" si="21"/>
        <v>0</v>
      </c>
      <c r="F267" s="1" t="e">
        <f>INDEX('App-Click Conversion by Rank'!$K$12:$S$31,MATCH(E267,'App-Click Conversion by Rank'!$J$12:$J$31,0),MATCH(D267,'App-Click Conversion by Rank'!$K$11:$S$11,0))</f>
        <v>#N/A</v>
      </c>
      <c r="G267" s="3" t="e">
        <f t="shared" si="22"/>
        <v>#N/A</v>
      </c>
      <c r="H267" s="5" t="e">
        <f t="shared" si="23"/>
        <v>#N/A</v>
      </c>
      <c r="I267">
        <f t="shared" si="24"/>
        <v>0</v>
      </c>
    </row>
    <row r="268" spans="4:9" x14ac:dyDescent="0.45">
      <c r="D268" t="str">
        <f t="shared" si="20"/>
        <v>&lt;=150</v>
      </c>
      <c r="E268">
        <f t="shared" si="21"/>
        <v>0</v>
      </c>
      <c r="F268" s="1" t="e">
        <f>INDEX('App-Click Conversion by Rank'!$K$12:$S$31,MATCH(E268,'App-Click Conversion by Rank'!$J$12:$J$31,0),MATCH(D268,'App-Click Conversion by Rank'!$K$11:$S$11,0))</f>
        <v>#N/A</v>
      </c>
      <c r="G268" s="3" t="e">
        <f t="shared" si="22"/>
        <v>#N/A</v>
      </c>
      <c r="H268" s="5" t="e">
        <f t="shared" si="23"/>
        <v>#N/A</v>
      </c>
      <c r="I268">
        <f t="shared" si="24"/>
        <v>0</v>
      </c>
    </row>
    <row r="269" spans="4:9" x14ac:dyDescent="0.45">
      <c r="D269" t="str">
        <f t="shared" si="20"/>
        <v>&lt;=150</v>
      </c>
      <c r="E269">
        <f t="shared" si="21"/>
        <v>0</v>
      </c>
      <c r="F269" s="1" t="e">
        <f>INDEX('App-Click Conversion by Rank'!$K$12:$S$31,MATCH(E269,'App-Click Conversion by Rank'!$J$12:$J$31,0),MATCH(D269,'App-Click Conversion by Rank'!$K$11:$S$11,0))</f>
        <v>#N/A</v>
      </c>
      <c r="G269" s="3" t="e">
        <f t="shared" si="22"/>
        <v>#N/A</v>
      </c>
      <c r="H269" s="5" t="e">
        <f t="shared" si="23"/>
        <v>#N/A</v>
      </c>
      <c r="I269">
        <f t="shared" si="24"/>
        <v>0</v>
      </c>
    </row>
    <row r="270" spans="4:9" x14ac:dyDescent="0.45">
      <c r="D270" t="str">
        <f t="shared" si="20"/>
        <v>&lt;=150</v>
      </c>
      <c r="E270">
        <f t="shared" si="21"/>
        <v>0</v>
      </c>
      <c r="F270" s="1" t="e">
        <f>INDEX('App-Click Conversion by Rank'!$K$12:$S$31,MATCH(E270,'App-Click Conversion by Rank'!$J$12:$J$31,0),MATCH(D270,'App-Click Conversion by Rank'!$K$11:$S$11,0))</f>
        <v>#N/A</v>
      </c>
      <c r="G270" s="3" t="e">
        <f t="shared" si="22"/>
        <v>#N/A</v>
      </c>
      <c r="H270" s="5" t="e">
        <f t="shared" si="23"/>
        <v>#N/A</v>
      </c>
      <c r="I270">
        <f t="shared" si="24"/>
        <v>0</v>
      </c>
    </row>
    <row r="271" spans="4:9" x14ac:dyDescent="0.45">
      <c r="D271" t="str">
        <f t="shared" si="20"/>
        <v>&lt;=150</v>
      </c>
      <c r="E271">
        <f t="shared" si="21"/>
        <v>0</v>
      </c>
      <c r="F271" s="1" t="e">
        <f>INDEX('App-Click Conversion by Rank'!$K$12:$S$31,MATCH(E271,'App-Click Conversion by Rank'!$J$12:$J$31,0),MATCH(D271,'App-Click Conversion by Rank'!$K$11:$S$11,0))</f>
        <v>#N/A</v>
      </c>
      <c r="G271" s="3" t="e">
        <f t="shared" si="22"/>
        <v>#N/A</v>
      </c>
      <c r="H271" s="5" t="e">
        <f t="shared" si="23"/>
        <v>#N/A</v>
      </c>
      <c r="I271">
        <f t="shared" si="24"/>
        <v>0</v>
      </c>
    </row>
    <row r="272" spans="4:9" x14ac:dyDescent="0.45">
      <c r="D272" t="str">
        <f t="shared" si="20"/>
        <v>&lt;=150</v>
      </c>
      <c r="E272">
        <f t="shared" si="21"/>
        <v>0</v>
      </c>
      <c r="F272" s="1" t="e">
        <f>INDEX('App-Click Conversion by Rank'!$K$12:$S$31,MATCH(E272,'App-Click Conversion by Rank'!$J$12:$J$31,0),MATCH(D272,'App-Click Conversion by Rank'!$K$11:$S$11,0))</f>
        <v>#N/A</v>
      </c>
      <c r="G272" s="3" t="e">
        <f t="shared" si="22"/>
        <v>#N/A</v>
      </c>
      <c r="H272" s="5" t="e">
        <f t="shared" si="23"/>
        <v>#N/A</v>
      </c>
      <c r="I272">
        <f t="shared" si="24"/>
        <v>0</v>
      </c>
    </row>
    <row r="273" spans="4:9" x14ac:dyDescent="0.45">
      <c r="D273" t="str">
        <f t="shared" si="20"/>
        <v>&lt;=150</v>
      </c>
      <c r="E273">
        <f t="shared" si="21"/>
        <v>0</v>
      </c>
      <c r="F273" s="1" t="e">
        <f>INDEX('App-Click Conversion by Rank'!$K$12:$S$31,MATCH(E273,'App-Click Conversion by Rank'!$J$12:$J$31,0),MATCH(D273,'App-Click Conversion by Rank'!$K$11:$S$11,0))</f>
        <v>#N/A</v>
      </c>
      <c r="G273" s="3" t="e">
        <f t="shared" si="22"/>
        <v>#N/A</v>
      </c>
      <c r="H273" s="5" t="e">
        <f t="shared" si="23"/>
        <v>#N/A</v>
      </c>
      <c r="I273">
        <f t="shared" si="24"/>
        <v>0</v>
      </c>
    </row>
    <row r="274" spans="4:9" x14ac:dyDescent="0.45">
      <c r="D274" t="str">
        <f t="shared" si="20"/>
        <v>&lt;=150</v>
      </c>
      <c r="E274">
        <f t="shared" si="21"/>
        <v>0</v>
      </c>
      <c r="F274" s="1" t="e">
        <f>INDEX('App-Click Conversion by Rank'!$K$12:$S$31,MATCH(E274,'App-Click Conversion by Rank'!$J$12:$J$31,0),MATCH(D274,'App-Click Conversion by Rank'!$K$11:$S$11,0))</f>
        <v>#N/A</v>
      </c>
      <c r="G274" s="3" t="e">
        <f t="shared" si="22"/>
        <v>#N/A</v>
      </c>
      <c r="H274" s="5" t="e">
        <f t="shared" si="23"/>
        <v>#N/A</v>
      </c>
      <c r="I274">
        <f t="shared" si="24"/>
        <v>0</v>
      </c>
    </row>
    <row r="275" spans="4:9" x14ac:dyDescent="0.45">
      <c r="D275" t="str">
        <f t="shared" si="20"/>
        <v>&lt;=150</v>
      </c>
      <c r="E275">
        <f t="shared" si="21"/>
        <v>0</v>
      </c>
      <c r="F275" s="1" t="e">
        <f>INDEX('App-Click Conversion by Rank'!$K$12:$S$31,MATCH(E275,'App-Click Conversion by Rank'!$J$12:$J$31,0),MATCH(D275,'App-Click Conversion by Rank'!$K$11:$S$11,0))</f>
        <v>#N/A</v>
      </c>
      <c r="G275" s="3" t="e">
        <f t="shared" si="22"/>
        <v>#N/A</v>
      </c>
      <c r="H275" s="5" t="e">
        <f t="shared" si="23"/>
        <v>#N/A</v>
      </c>
      <c r="I275">
        <f t="shared" si="24"/>
        <v>0</v>
      </c>
    </row>
    <row r="276" spans="4:9" x14ac:dyDescent="0.45">
      <c r="D276" t="str">
        <f t="shared" si="20"/>
        <v>&lt;=150</v>
      </c>
      <c r="E276">
        <f t="shared" si="21"/>
        <v>0</v>
      </c>
      <c r="F276" s="1" t="e">
        <f>INDEX('App-Click Conversion by Rank'!$K$12:$S$31,MATCH(E276,'App-Click Conversion by Rank'!$J$12:$J$31,0),MATCH(D276,'App-Click Conversion by Rank'!$K$11:$S$11,0))</f>
        <v>#N/A</v>
      </c>
      <c r="G276" s="3" t="e">
        <f t="shared" si="22"/>
        <v>#N/A</v>
      </c>
      <c r="H276" s="5" t="e">
        <f t="shared" si="23"/>
        <v>#N/A</v>
      </c>
      <c r="I276">
        <f t="shared" si="24"/>
        <v>0</v>
      </c>
    </row>
    <row r="277" spans="4:9" x14ac:dyDescent="0.45">
      <c r="D277" t="str">
        <f t="shared" si="20"/>
        <v>&lt;=150</v>
      </c>
      <c r="E277">
        <f t="shared" si="21"/>
        <v>0</v>
      </c>
      <c r="F277" s="1" t="e">
        <f>INDEX('App-Click Conversion by Rank'!$K$12:$S$31,MATCH(E277,'App-Click Conversion by Rank'!$J$12:$J$31,0),MATCH(D277,'App-Click Conversion by Rank'!$K$11:$S$11,0))</f>
        <v>#N/A</v>
      </c>
      <c r="G277" s="3" t="e">
        <f t="shared" si="22"/>
        <v>#N/A</v>
      </c>
      <c r="H277" s="5" t="e">
        <f t="shared" si="23"/>
        <v>#N/A</v>
      </c>
      <c r="I277">
        <f t="shared" si="24"/>
        <v>0</v>
      </c>
    </row>
    <row r="278" spans="4:9" x14ac:dyDescent="0.45">
      <c r="D278" t="str">
        <f t="shared" si="20"/>
        <v>&lt;=150</v>
      </c>
      <c r="E278">
        <f t="shared" si="21"/>
        <v>0</v>
      </c>
      <c r="F278" s="1" t="e">
        <f>INDEX('App-Click Conversion by Rank'!$K$12:$S$31,MATCH(E278,'App-Click Conversion by Rank'!$J$12:$J$31,0),MATCH(D278,'App-Click Conversion by Rank'!$K$11:$S$11,0))</f>
        <v>#N/A</v>
      </c>
      <c r="G278" s="3" t="e">
        <f t="shared" si="22"/>
        <v>#N/A</v>
      </c>
      <c r="H278" s="5" t="e">
        <f t="shared" si="23"/>
        <v>#N/A</v>
      </c>
      <c r="I278">
        <f t="shared" si="24"/>
        <v>0</v>
      </c>
    </row>
    <row r="279" spans="4:9" x14ac:dyDescent="0.45">
      <c r="D279" t="str">
        <f t="shared" si="20"/>
        <v>&lt;=150</v>
      </c>
      <c r="E279">
        <f t="shared" si="21"/>
        <v>0</v>
      </c>
      <c r="F279" s="1" t="e">
        <f>INDEX('App-Click Conversion by Rank'!$K$12:$S$31,MATCH(E279,'App-Click Conversion by Rank'!$J$12:$J$31,0),MATCH(D279,'App-Click Conversion by Rank'!$K$11:$S$11,0))</f>
        <v>#N/A</v>
      </c>
      <c r="G279" s="3" t="e">
        <f t="shared" si="22"/>
        <v>#N/A</v>
      </c>
      <c r="H279" s="5" t="e">
        <f t="shared" si="23"/>
        <v>#N/A</v>
      </c>
      <c r="I279">
        <f t="shared" si="24"/>
        <v>0</v>
      </c>
    </row>
    <row r="280" spans="4:9" x14ac:dyDescent="0.45">
      <c r="D280" t="str">
        <f t="shared" si="20"/>
        <v>&lt;=150</v>
      </c>
      <c r="E280">
        <f t="shared" si="21"/>
        <v>0</v>
      </c>
      <c r="F280" s="1" t="e">
        <f>INDEX('App-Click Conversion by Rank'!$K$12:$S$31,MATCH(E280,'App-Click Conversion by Rank'!$J$12:$J$31,0),MATCH(D280,'App-Click Conversion by Rank'!$K$11:$S$11,0))</f>
        <v>#N/A</v>
      </c>
      <c r="G280" s="3" t="e">
        <f t="shared" si="22"/>
        <v>#N/A</v>
      </c>
      <c r="H280" s="5" t="e">
        <f t="shared" si="23"/>
        <v>#N/A</v>
      </c>
      <c r="I280">
        <f t="shared" si="24"/>
        <v>0</v>
      </c>
    </row>
    <row r="281" spans="4:9" x14ac:dyDescent="0.45">
      <c r="D281" t="str">
        <f t="shared" si="20"/>
        <v>&lt;=150</v>
      </c>
      <c r="E281">
        <f t="shared" si="21"/>
        <v>0</v>
      </c>
      <c r="F281" s="1" t="e">
        <f>INDEX('App-Click Conversion by Rank'!$K$12:$S$31,MATCH(E281,'App-Click Conversion by Rank'!$J$12:$J$31,0),MATCH(D281,'App-Click Conversion by Rank'!$K$11:$S$11,0))</f>
        <v>#N/A</v>
      </c>
      <c r="G281" s="3" t="e">
        <f t="shared" si="22"/>
        <v>#N/A</v>
      </c>
      <c r="H281" s="5" t="e">
        <f t="shared" si="23"/>
        <v>#N/A</v>
      </c>
      <c r="I281">
        <f t="shared" si="24"/>
        <v>0</v>
      </c>
    </row>
    <row r="282" spans="4:9" x14ac:dyDescent="0.45">
      <c r="D282" t="str">
        <f t="shared" si="20"/>
        <v>&lt;=150</v>
      </c>
      <c r="E282">
        <f t="shared" si="21"/>
        <v>0</v>
      </c>
      <c r="F282" s="1" t="e">
        <f>INDEX('App-Click Conversion by Rank'!$K$12:$S$31,MATCH(E282,'App-Click Conversion by Rank'!$J$12:$J$31,0),MATCH(D282,'App-Click Conversion by Rank'!$K$11:$S$11,0))</f>
        <v>#N/A</v>
      </c>
      <c r="G282" s="3" t="e">
        <f t="shared" si="22"/>
        <v>#N/A</v>
      </c>
      <c r="H282" s="5" t="e">
        <f t="shared" si="23"/>
        <v>#N/A</v>
      </c>
      <c r="I282">
        <f t="shared" si="24"/>
        <v>0</v>
      </c>
    </row>
    <row r="283" spans="4:9" x14ac:dyDescent="0.45">
      <c r="G283" s="3"/>
      <c r="H283" s="5"/>
    </row>
    <row r="284" spans="4:9" x14ac:dyDescent="0.45">
      <c r="G284" s="3"/>
      <c r="H284" s="5"/>
    </row>
    <row r="285" spans="4:9" x14ac:dyDescent="0.45">
      <c r="G285" s="3"/>
      <c r="H285" s="5"/>
    </row>
    <row r="286" spans="4:9" x14ac:dyDescent="0.45">
      <c r="G286" s="3"/>
      <c r="H286" s="5"/>
    </row>
    <row r="287" spans="4:9" x14ac:dyDescent="0.45">
      <c r="G287" s="3"/>
      <c r="H287" s="5"/>
    </row>
    <row r="288" spans="4:9" x14ac:dyDescent="0.45">
      <c r="G288" s="3"/>
      <c r="H288" s="5"/>
    </row>
    <row r="289" spans="7:8" x14ac:dyDescent="0.45">
      <c r="G289" s="3"/>
      <c r="H289" s="5"/>
    </row>
    <row r="290" spans="7:8" x14ac:dyDescent="0.45">
      <c r="G290" s="3"/>
      <c r="H290" s="5"/>
    </row>
    <row r="291" spans="7:8" x14ac:dyDescent="0.45">
      <c r="G291" s="3"/>
      <c r="H291" s="5"/>
    </row>
    <row r="292" spans="7:8" x14ac:dyDescent="0.45">
      <c r="G292" s="3"/>
      <c r="H292" s="5"/>
    </row>
    <row r="293" spans="7:8" x14ac:dyDescent="0.45">
      <c r="G293" s="3"/>
      <c r="H293" s="5"/>
    </row>
    <row r="294" spans="7:8" x14ac:dyDescent="0.45">
      <c r="G294" s="3"/>
      <c r="H294" s="5"/>
    </row>
    <row r="295" spans="7:8" x14ac:dyDescent="0.45">
      <c r="G295" s="3"/>
      <c r="H295" s="5"/>
    </row>
    <row r="296" spans="7:8" x14ac:dyDescent="0.45">
      <c r="G296" s="3"/>
      <c r="H296" s="5"/>
    </row>
    <row r="297" spans="7:8" x14ac:dyDescent="0.45">
      <c r="G297" s="3"/>
      <c r="H297" s="5"/>
    </row>
    <row r="298" spans="7:8" x14ac:dyDescent="0.45">
      <c r="G298" s="3"/>
      <c r="H298" s="5"/>
    </row>
    <row r="299" spans="7:8" x14ac:dyDescent="0.45">
      <c r="G299" s="3"/>
      <c r="H299" s="5"/>
    </row>
    <row r="300" spans="7:8" x14ac:dyDescent="0.45">
      <c r="G300" s="3"/>
      <c r="H300" s="5"/>
    </row>
    <row r="301" spans="7:8" x14ac:dyDescent="0.45">
      <c r="G301" s="3"/>
      <c r="H301" s="5"/>
    </row>
    <row r="302" spans="7:8" x14ac:dyDescent="0.45">
      <c r="G302" s="3"/>
      <c r="H302" s="5"/>
    </row>
    <row r="303" spans="7:8" x14ac:dyDescent="0.45">
      <c r="G303" s="3"/>
      <c r="H303" s="5"/>
    </row>
    <row r="304" spans="7:8" x14ac:dyDescent="0.45">
      <c r="G304" s="3"/>
      <c r="H304" s="5"/>
    </row>
    <row r="305" spans="7:8" x14ac:dyDescent="0.45">
      <c r="G305" s="3"/>
      <c r="H305" s="5"/>
    </row>
    <row r="306" spans="7:8" x14ac:dyDescent="0.45">
      <c r="G306" s="3"/>
      <c r="H306" s="5"/>
    </row>
    <row r="307" spans="7:8" x14ac:dyDescent="0.45">
      <c r="G307" s="3"/>
      <c r="H307" s="5"/>
    </row>
    <row r="308" spans="7:8" x14ac:dyDescent="0.45">
      <c r="G308" s="3"/>
      <c r="H308" s="5"/>
    </row>
    <row r="309" spans="7:8" x14ac:dyDescent="0.45">
      <c r="G309" s="3"/>
      <c r="H309" s="5"/>
    </row>
    <row r="310" spans="7:8" x14ac:dyDescent="0.45">
      <c r="G310" s="3"/>
      <c r="H310" s="5"/>
    </row>
    <row r="311" spans="7:8" x14ac:dyDescent="0.45">
      <c r="G311" s="3"/>
      <c r="H311" s="5"/>
    </row>
    <row r="312" spans="7:8" x14ac:dyDescent="0.45">
      <c r="G312" s="3"/>
      <c r="H312" s="5"/>
    </row>
    <row r="313" spans="7:8" x14ac:dyDescent="0.45">
      <c r="G313" s="3"/>
      <c r="H313" s="5"/>
    </row>
    <row r="314" spans="7:8" x14ac:dyDescent="0.45">
      <c r="G314" s="3"/>
      <c r="H314" s="5"/>
    </row>
    <row r="315" spans="7:8" x14ac:dyDescent="0.45">
      <c r="G315" s="3"/>
      <c r="H315" s="5"/>
    </row>
    <row r="316" spans="7:8" x14ac:dyDescent="0.45">
      <c r="G316" s="3"/>
      <c r="H316" s="5"/>
    </row>
    <row r="317" spans="7:8" x14ac:dyDescent="0.45">
      <c r="G317" s="3"/>
      <c r="H317" s="5"/>
    </row>
    <row r="318" spans="7:8" x14ac:dyDescent="0.45">
      <c r="G318" s="3"/>
      <c r="H318" s="5"/>
    </row>
    <row r="319" spans="7:8" x14ac:dyDescent="0.45">
      <c r="G319" s="3"/>
      <c r="H319" s="5"/>
    </row>
    <row r="320" spans="7:8" x14ac:dyDescent="0.45">
      <c r="G320" s="3"/>
      <c r="H320" s="5"/>
    </row>
    <row r="321" spans="7:8" x14ac:dyDescent="0.45">
      <c r="G321" s="3"/>
      <c r="H321" s="5"/>
    </row>
    <row r="322" spans="7:8" x14ac:dyDescent="0.45">
      <c r="G322" s="3"/>
      <c r="H322" s="5"/>
    </row>
    <row r="323" spans="7:8" x14ac:dyDescent="0.45">
      <c r="G323" s="3"/>
      <c r="H323" s="5"/>
    </row>
    <row r="324" spans="7:8" x14ac:dyDescent="0.45">
      <c r="G324" s="3"/>
      <c r="H324" s="5"/>
    </row>
    <row r="325" spans="7:8" x14ac:dyDescent="0.45">
      <c r="G325" s="3"/>
      <c r="H325" s="5"/>
    </row>
    <row r="326" spans="7:8" x14ac:dyDescent="0.45">
      <c r="G326" s="3"/>
      <c r="H326" s="5"/>
    </row>
    <row r="327" spans="7:8" x14ac:dyDescent="0.45">
      <c r="G327" s="3"/>
      <c r="H327" s="5"/>
    </row>
    <row r="328" spans="7:8" x14ac:dyDescent="0.45">
      <c r="G328" s="3"/>
      <c r="H328" s="5"/>
    </row>
    <row r="329" spans="7:8" x14ac:dyDescent="0.45">
      <c r="G329" s="3"/>
      <c r="H329" s="5"/>
    </row>
    <row r="330" spans="7:8" x14ac:dyDescent="0.45">
      <c r="G330" s="3"/>
      <c r="H330" s="5"/>
    </row>
    <row r="331" spans="7:8" x14ac:dyDescent="0.45">
      <c r="G331" s="3"/>
      <c r="H331" s="5"/>
    </row>
    <row r="332" spans="7:8" x14ac:dyDescent="0.45">
      <c r="G332" s="3"/>
      <c r="H332" s="5"/>
    </row>
    <row r="333" spans="7:8" x14ac:dyDescent="0.45">
      <c r="G333" s="3"/>
      <c r="H333" s="5"/>
    </row>
    <row r="334" spans="7:8" x14ac:dyDescent="0.45">
      <c r="G334" s="3"/>
      <c r="H334" s="5"/>
    </row>
    <row r="335" spans="7:8" x14ac:dyDescent="0.45">
      <c r="G335" s="3"/>
      <c r="H335" s="5"/>
    </row>
    <row r="336" spans="7:8" x14ac:dyDescent="0.45">
      <c r="G336" s="3"/>
      <c r="H336" s="5"/>
    </row>
    <row r="337" spans="7:8" x14ac:dyDescent="0.45">
      <c r="G337" s="3"/>
      <c r="H337" s="5"/>
    </row>
    <row r="338" spans="7:8" x14ac:dyDescent="0.45">
      <c r="G338" s="3"/>
      <c r="H338" s="5"/>
    </row>
    <row r="339" spans="7:8" x14ac:dyDescent="0.45">
      <c r="G339" s="3"/>
      <c r="H339" s="5"/>
    </row>
    <row r="340" spans="7:8" x14ac:dyDescent="0.45">
      <c r="G340" s="3"/>
      <c r="H340" s="5"/>
    </row>
    <row r="341" spans="7:8" x14ac:dyDescent="0.45">
      <c r="G341" s="3"/>
      <c r="H341" s="5"/>
    </row>
    <row r="342" spans="7:8" x14ac:dyDescent="0.45">
      <c r="G342" s="3"/>
      <c r="H342" s="5"/>
    </row>
    <row r="343" spans="7:8" x14ac:dyDescent="0.45">
      <c r="G343" s="3"/>
      <c r="H343" s="5"/>
    </row>
    <row r="344" spans="7:8" x14ac:dyDescent="0.45">
      <c r="G344" s="3"/>
      <c r="H344" s="5"/>
    </row>
    <row r="345" spans="7:8" x14ac:dyDescent="0.45">
      <c r="G345" s="3"/>
      <c r="H345" s="5"/>
    </row>
    <row r="346" spans="7:8" x14ac:dyDescent="0.45">
      <c r="G346" s="3"/>
      <c r="H346" s="5"/>
    </row>
    <row r="347" spans="7:8" x14ac:dyDescent="0.45">
      <c r="G347" s="3"/>
      <c r="H347" s="5"/>
    </row>
    <row r="348" spans="7:8" x14ac:dyDescent="0.45">
      <c r="G348" s="3"/>
      <c r="H348" s="5"/>
    </row>
    <row r="349" spans="7:8" x14ac:dyDescent="0.45">
      <c r="G349" s="3"/>
      <c r="H349" s="5"/>
    </row>
    <row r="350" spans="7:8" x14ac:dyDescent="0.45">
      <c r="G350" s="3"/>
      <c r="H350" s="5"/>
    </row>
    <row r="351" spans="7:8" x14ac:dyDescent="0.45">
      <c r="G351" s="3"/>
      <c r="H351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0E53-05A0-4451-A647-872CEFDAC9FB}">
  <dimension ref="A2:S192"/>
  <sheetViews>
    <sheetView zoomScale="70" zoomScaleNormal="70" workbookViewId="0">
      <selection activeCell="AH14" sqref="AH14"/>
    </sheetView>
  </sheetViews>
  <sheetFormatPr defaultRowHeight="14.25" x14ac:dyDescent="0.45"/>
  <cols>
    <col min="1" max="1" width="8.86328125" customWidth="1"/>
    <col min="3" max="3" width="12.3984375" customWidth="1"/>
    <col min="5" max="5" width="11.46484375" bestFit="1" customWidth="1"/>
    <col min="6" max="6" width="12.53125" bestFit="1" customWidth="1"/>
    <col min="19" max="19" width="11.265625" customWidth="1"/>
    <col min="36" max="36" width="11.86328125" customWidth="1"/>
    <col min="37" max="37" width="10" bestFit="1" customWidth="1"/>
    <col min="38" max="38" width="10.06640625" bestFit="1" customWidth="1"/>
  </cols>
  <sheetData>
    <row r="2" spans="1:19" x14ac:dyDescent="0.45">
      <c r="C2" s="2" t="s">
        <v>9</v>
      </c>
    </row>
    <row r="9" spans="1:19" x14ac:dyDescent="0.45">
      <c r="C9" s="2" t="s">
        <v>7</v>
      </c>
      <c r="D9" s="2"/>
      <c r="E9" s="2"/>
      <c r="F9" s="2"/>
      <c r="G9" s="2"/>
      <c r="H9" s="2"/>
      <c r="J9" s="2" t="s">
        <v>6</v>
      </c>
    </row>
    <row r="10" spans="1:19" x14ac:dyDescent="0.45">
      <c r="C10" s="2"/>
      <c r="D10" s="2"/>
      <c r="E10" s="2"/>
      <c r="F10" s="2"/>
      <c r="G10" s="2"/>
      <c r="H10" s="2"/>
    </row>
    <row r="11" spans="1:19" x14ac:dyDescent="0.45">
      <c r="A11" s="2" t="s">
        <v>25</v>
      </c>
      <c r="B11" s="2" t="s">
        <v>26</v>
      </c>
      <c r="C11" t="s">
        <v>35</v>
      </c>
      <c r="D11" t="s">
        <v>3</v>
      </c>
      <c r="E11" t="s">
        <v>20</v>
      </c>
      <c r="F11" t="s">
        <v>21</v>
      </c>
      <c r="G11" s="2" t="s">
        <v>5</v>
      </c>
      <c r="H11" s="2" t="s">
        <v>4</v>
      </c>
      <c r="J11" s="2" t="s">
        <v>3</v>
      </c>
      <c r="K11" s="2" t="s">
        <v>2</v>
      </c>
      <c r="L11" s="2">
        <v>200</v>
      </c>
      <c r="M11" s="2">
        <v>250</v>
      </c>
      <c r="N11" s="2">
        <v>300</v>
      </c>
      <c r="O11" s="2">
        <v>350</v>
      </c>
      <c r="P11" s="2">
        <v>400</v>
      </c>
      <c r="Q11" s="2">
        <v>450</v>
      </c>
      <c r="R11" s="2">
        <v>500</v>
      </c>
      <c r="S11" s="2" t="s">
        <v>1</v>
      </c>
    </row>
    <row r="12" spans="1:19" x14ac:dyDescent="0.45">
      <c r="A12" t="str">
        <f>IF(C12=150, "&lt;=150", C12)</f>
        <v>&lt;=150</v>
      </c>
      <c r="B12">
        <f>IF(D12=99, "20+", D12)</f>
        <v>1</v>
      </c>
      <c r="C12">
        <v>150</v>
      </c>
      <c r="D12">
        <v>1</v>
      </c>
      <c r="E12">
        <v>307</v>
      </c>
      <c r="F12">
        <v>828</v>
      </c>
      <c r="G12" s="1">
        <f>E12/F12</f>
        <v>0.37077294685990336</v>
      </c>
      <c r="H12" s="1" t="str">
        <f>CONCATENATE(A12,IF(LEN(B12)=1,CONCATENATE(0,B12),B12))</f>
        <v>&lt;=15001</v>
      </c>
      <c r="J12">
        <v>1</v>
      </c>
      <c r="K12" s="1">
        <f>INDEX($G$12:$G$192,MATCH(CONCATENATE(K$11,IF(LEN($J12)=1,CONCATENATE(0,$J12),$J12)),$H$12:$H$192,0))</f>
        <v>0.37077294685990336</v>
      </c>
      <c r="L12" s="1">
        <f>INDEX($G$12:$G$192,MATCH(CONCATENATE(L$11,IF(LEN($J12)=1,CONCATENATE(0,$J12),$J12)),$H$12:$H$192,0))</f>
        <v>0.3141025641025641</v>
      </c>
      <c r="M12" s="1">
        <f t="shared" ref="K12:S21" si="0">INDEX($G$12:$G$192,MATCH(CONCATENATE(M$11,IF(LEN($J12)=1,CONCATENATE(0,$J12),$J12)),$H$12:$H$192,0))</f>
        <v>0.3187376725838264</v>
      </c>
      <c r="N12" s="1">
        <f t="shared" si="0"/>
        <v>0.27164439279488667</v>
      </c>
      <c r="O12" s="1">
        <f t="shared" si="0"/>
        <v>0.22531939605110338</v>
      </c>
      <c r="P12" s="1">
        <f t="shared" si="0"/>
        <v>0.18873271367036953</v>
      </c>
      <c r="Q12" s="1">
        <f t="shared" si="0"/>
        <v>0.15592720118052139</v>
      </c>
      <c r="R12" s="1">
        <f t="shared" si="0"/>
        <v>0.14095071958133448</v>
      </c>
      <c r="S12" s="1">
        <f t="shared" si="0"/>
        <v>0.12719738824711199</v>
      </c>
    </row>
    <row r="13" spans="1:19" x14ac:dyDescent="0.45">
      <c r="A13" t="str">
        <f t="shared" ref="A13:A76" si="1">IF(C13=150, "&lt;=150", C13)</f>
        <v>&lt;=150</v>
      </c>
      <c r="B13">
        <f t="shared" ref="B13:B76" si="2">IF(D13=99, "20+", D13)</f>
        <v>2</v>
      </c>
      <c r="C13">
        <v>150</v>
      </c>
      <c r="D13">
        <v>2</v>
      </c>
      <c r="E13">
        <v>58</v>
      </c>
      <c r="F13">
        <v>399</v>
      </c>
      <c r="G13" s="1">
        <f t="shared" ref="G13:G43" si="3">E13/F13</f>
        <v>0.14536340852130325</v>
      </c>
      <c r="H13" s="1" t="str">
        <f t="shared" ref="H13:H76" si="4">CONCATENATE(A13,IF(LEN(B13)=1,CONCATENATE(0,B13),B13))</f>
        <v>&lt;=15002</v>
      </c>
      <c r="J13">
        <v>2</v>
      </c>
      <c r="K13" s="1">
        <f t="shared" si="0"/>
        <v>0.14536340852130325</v>
      </c>
      <c r="L13" s="1">
        <f t="shared" si="0"/>
        <v>0.13572679509632224</v>
      </c>
      <c r="M13" s="1">
        <f t="shared" si="0"/>
        <v>0.1417883861774136</v>
      </c>
      <c r="N13" s="1">
        <f t="shared" si="0"/>
        <v>0.11406010089932003</v>
      </c>
      <c r="O13" s="1">
        <f t="shared" si="0"/>
        <v>0.10566877890049665</v>
      </c>
      <c r="P13" s="1">
        <f t="shared" si="0"/>
        <v>8.940352766931467E-2</v>
      </c>
      <c r="Q13" s="1">
        <f t="shared" si="0"/>
        <v>7.482403898213319E-2</v>
      </c>
      <c r="R13" s="1">
        <f t="shared" si="0"/>
        <v>7.0611908899661568E-2</v>
      </c>
      <c r="S13" s="1">
        <f t="shared" si="0"/>
        <v>7.5343344885123856E-2</v>
      </c>
    </row>
    <row r="14" spans="1:19" x14ac:dyDescent="0.45">
      <c r="A14" t="str">
        <f t="shared" si="1"/>
        <v>&lt;=150</v>
      </c>
      <c r="B14">
        <f t="shared" si="2"/>
        <v>3</v>
      </c>
      <c r="C14">
        <v>150</v>
      </c>
      <c r="D14">
        <v>3</v>
      </c>
      <c r="E14">
        <v>30</v>
      </c>
      <c r="F14">
        <v>305</v>
      </c>
      <c r="G14" s="1">
        <f t="shared" si="3"/>
        <v>9.8360655737704916E-2</v>
      </c>
      <c r="H14" s="1" t="str">
        <f t="shared" si="4"/>
        <v>&lt;=15003</v>
      </c>
      <c r="J14">
        <v>3</v>
      </c>
      <c r="K14" s="1">
        <f t="shared" si="0"/>
        <v>9.8360655737704916E-2</v>
      </c>
      <c r="L14" s="1">
        <f t="shared" si="0"/>
        <v>9.3181818181818185E-2</v>
      </c>
      <c r="M14" s="1">
        <f t="shared" si="0"/>
        <v>0.10116550116550116</v>
      </c>
      <c r="N14" s="1">
        <f t="shared" si="0"/>
        <v>7.8236914600550961E-2</v>
      </c>
      <c r="O14" s="1">
        <f t="shared" si="0"/>
        <v>6.8351870576339735E-2</v>
      </c>
      <c r="P14" s="1">
        <f t="shared" si="0"/>
        <v>5.9630292188431723E-2</v>
      </c>
      <c r="Q14" s="1">
        <f t="shared" si="0"/>
        <v>5.0193489642613248E-2</v>
      </c>
      <c r="R14" s="1">
        <f t="shared" si="0"/>
        <v>4.693648116919618E-2</v>
      </c>
      <c r="S14" s="1">
        <f t="shared" si="0"/>
        <v>4.4627885979620793E-2</v>
      </c>
    </row>
    <row r="15" spans="1:19" x14ac:dyDescent="0.45">
      <c r="A15" t="str">
        <f t="shared" si="1"/>
        <v>&lt;=150</v>
      </c>
      <c r="B15">
        <f t="shared" si="2"/>
        <v>4</v>
      </c>
      <c r="C15">
        <v>150</v>
      </c>
      <c r="D15">
        <v>4</v>
      </c>
      <c r="E15">
        <v>32</v>
      </c>
      <c r="F15">
        <v>255</v>
      </c>
      <c r="G15" s="1">
        <f t="shared" si="3"/>
        <v>0.12549019607843137</v>
      </c>
      <c r="H15" s="1" t="str">
        <f t="shared" si="4"/>
        <v>&lt;=15004</v>
      </c>
      <c r="J15">
        <v>4</v>
      </c>
      <c r="K15" s="1">
        <f t="shared" si="0"/>
        <v>0.12549019607843137</v>
      </c>
      <c r="L15" s="1">
        <f t="shared" si="0"/>
        <v>0.10109289617486339</v>
      </c>
      <c r="M15" s="1">
        <f t="shared" si="0"/>
        <v>6.9376693766937669E-2</v>
      </c>
      <c r="N15" s="1">
        <f t="shared" si="0"/>
        <v>5.5850234009360372E-2</v>
      </c>
      <c r="O15" s="1">
        <f t="shared" si="0"/>
        <v>5.6047851129818346E-2</v>
      </c>
      <c r="P15" s="1">
        <f t="shared" si="0"/>
        <v>4.4208524797971792E-2</v>
      </c>
      <c r="Q15" s="1">
        <f t="shared" si="0"/>
        <v>3.7920850561134083E-2</v>
      </c>
      <c r="R15" s="1">
        <f t="shared" si="0"/>
        <v>3.3269961977186312E-2</v>
      </c>
      <c r="S15" s="1">
        <f t="shared" si="0"/>
        <v>3.6664084688871675E-2</v>
      </c>
    </row>
    <row r="16" spans="1:19" x14ac:dyDescent="0.45">
      <c r="A16" t="str">
        <f t="shared" si="1"/>
        <v>&lt;=150</v>
      </c>
      <c r="B16">
        <f t="shared" si="2"/>
        <v>5</v>
      </c>
      <c r="C16">
        <v>150</v>
      </c>
      <c r="D16">
        <v>5</v>
      </c>
      <c r="E16">
        <v>19</v>
      </c>
      <c r="F16">
        <v>234</v>
      </c>
      <c r="G16" s="1">
        <f t="shared" si="3"/>
        <v>8.11965811965812E-2</v>
      </c>
      <c r="H16" s="1" t="str">
        <f t="shared" si="4"/>
        <v>&lt;=15005</v>
      </c>
      <c r="J16">
        <v>5</v>
      </c>
      <c r="K16" s="1">
        <f t="shared" si="0"/>
        <v>8.11965811965812E-2</v>
      </c>
      <c r="L16" s="1">
        <f t="shared" si="0"/>
        <v>5.2173913043478258E-2</v>
      </c>
      <c r="M16" s="1">
        <f t="shared" si="0"/>
        <v>5.772594752186589E-2</v>
      </c>
      <c r="N16" s="1">
        <f t="shared" si="0"/>
        <v>4.7058823529411764E-2</v>
      </c>
      <c r="O16" s="1">
        <f t="shared" si="0"/>
        <v>3.7553141237600375E-2</v>
      </c>
      <c r="P16" s="1">
        <f t="shared" si="0"/>
        <v>2.8956565152271591E-2</v>
      </c>
      <c r="Q16" s="1">
        <f t="shared" si="0"/>
        <v>2.576881001580163E-2</v>
      </c>
      <c r="R16" s="1">
        <f t="shared" si="0"/>
        <v>2.3398058252427186E-2</v>
      </c>
      <c r="S16" s="1">
        <f t="shared" si="0"/>
        <v>2.0504113882721692E-2</v>
      </c>
    </row>
    <row r="17" spans="1:19" x14ac:dyDescent="0.45">
      <c r="A17" t="str">
        <f t="shared" si="1"/>
        <v>&lt;=150</v>
      </c>
      <c r="B17">
        <f t="shared" si="2"/>
        <v>6</v>
      </c>
      <c r="C17">
        <v>150</v>
      </c>
      <c r="D17">
        <v>6</v>
      </c>
      <c r="E17">
        <v>13</v>
      </c>
      <c r="F17">
        <v>208</v>
      </c>
      <c r="G17" s="1">
        <f t="shared" si="3"/>
        <v>6.25E-2</v>
      </c>
      <c r="H17" s="1" t="str">
        <f t="shared" si="4"/>
        <v>&lt;=15006</v>
      </c>
      <c r="J17">
        <v>6</v>
      </c>
      <c r="K17" s="1">
        <f t="shared" si="0"/>
        <v>6.25E-2</v>
      </c>
      <c r="L17" s="1">
        <f t="shared" si="0"/>
        <v>3.486529318541997E-2</v>
      </c>
      <c r="M17" s="1">
        <f t="shared" si="0"/>
        <v>4.0523690773067333E-2</v>
      </c>
      <c r="N17" s="1">
        <f t="shared" si="0"/>
        <v>3.6284470246734396E-2</v>
      </c>
      <c r="O17" s="1">
        <f t="shared" si="0"/>
        <v>2.8679245283018868E-2</v>
      </c>
      <c r="P17" s="1">
        <f t="shared" si="0"/>
        <v>2.3052741879147746E-2</v>
      </c>
      <c r="Q17" s="1">
        <f t="shared" si="0"/>
        <v>2.4506126531632907E-2</v>
      </c>
      <c r="R17" s="1">
        <f t="shared" si="0"/>
        <v>2.218905472636816E-2</v>
      </c>
      <c r="S17" s="1">
        <f t="shared" si="0"/>
        <v>2.4383744170552963E-2</v>
      </c>
    </row>
    <row r="18" spans="1:19" x14ac:dyDescent="0.45">
      <c r="A18" t="str">
        <f t="shared" si="1"/>
        <v>&lt;=150</v>
      </c>
      <c r="B18">
        <f t="shared" si="2"/>
        <v>7</v>
      </c>
      <c r="C18">
        <v>150</v>
      </c>
      <c r="D18">
        <v>7</v>
      </c>
      <c r="E18">
        <v>4</v>
      </c>
      <c r="F18">
        <v>198</v>
      </c>
      <c r="G18" s="1">
        <f t="shared" si="3"/>
        <v>2.0202020202020204E-2</v>
      </c>
      <c r="H18" s="1" t="str">
        <f t="shared" si="4"/>
        <v>&lt;=15007</v>
      </c>
      <c r="J18">
        <v>7</v>
      </c>
      <c r="K18" s="1">
        <f t="shared" si="0"/>
        <v>2.0202020202020204E-2</v>
      </c>
      <c r="L18" s="1">
        <f t="shared" si="0"/>
        <v>2.3569023569023569E-2</v>
      </c>
      <c r="M18" s="1">
        <f t="shared" si="0"/>
        <v>3.7137069547602972E-2</v>
      </c>
      <c r="N18" s="1">
        <f t="shared" si="0"/>
        <v>3.3102386451116246E-2</v>
      </c>
      <c r="O18" s="1">
        <f t="shared" si="0"/>
        <v>2.2263450834879406E-2</v>
      </c>
      <c r="P18" s="1">
        <f t="shared" si="0"/>
        <v>1.7432358816052297E-2</v>
      </c>
      <c r="Q18" s="1">
        <f t="shared" si="0"/>
        <v>1.5087040618955513E-2</v>
      </c>
      <c r="R18" s="1">
        <f t="shared" si="0"/>
        <v>1.6261794820317206E-2</v>
      </c>
      <c r="S18" s="1">
        <f t="shared" si="0"/>
        <v>1.4011208967173739E-2</v>
      </c>
    </row>
    <row r="19" spans="1:19" x14ac:dyDescent="0.45">
      <c r="A19" t="str">
        <f t="shared" si="1"/>
        <v>&lt;=150</v>
      </c>
      <c r="B19">
        <f t="shared" si="2"/>
        <v>8</v>
      </c>
      <c r="C19">
        <v>150</v>
      </c>
      <c r="D19">
        <v>8</v>
      </c>
      <c r="E19">
        <v>0</v>
      </c>
      <c r="F19">
        <v>136</v>
      </c>
      <c r="G19" s="1">
        <f t="shared" si="3"/>
        <v>0</v>
      </c>
      <c r="H19" s="1" t="str">
        <f t="shared" si="4"/>
        <v>&lt;=15008</v>
      </c>
      <c r="J19">
        <v>8</v>
      </c>
      <c r="K19" s="1">
        <f t="shared" si="0"/>
        <v>0</v>
      </c>
      <c r="L19" s="1">
        <f t="shared" si="0"/>
        <v>1.7817371937639197E-2</v>
      </c>
      <c r="M19" s="1">
        <f t="shared" si="0"/>
        <v>3.04E-2</v>
      </c>
      <c r="N19" s="1">
        <f t="shared" si="0"/>
        <v>2.3454157782515993E-2</v>
      </c>
      <c r="O19" s="1">
        <f t="shared" si="0"/>
        <v>1.5720524017467249E-2</v>
      </c>
      <c r="P19" s="1">
        <f t="shared" si="0"/>
        <v>1.1600471883602045E-2</v>
      </c>
      <c r="Q19" s="1">
        <f t="shared" si="0"/>
        <v>9.3508605502100554E-3</v>
      </c>
      <c r="R19" s="1">
        <f t="shared" si="0"/>
        <v>9.114719748559456E-3</v>
      </c>
      <c r="S19" s="1">
        <f t="shared" si="0"/>
        <v>1.0399562123700055E-2</v>
      </c>
    </row>
    <row r="20" spans="1:19" x14ac:dyDescent="0.45">
      <c r="A20" t="str">
        <f t="shared" si="1"/>
        <v>&lt;=150</v>
      </c>
      <c r="B20">
        <f t="shared" si="2"/>
        <v>9</v>
      </c>
      <c r="C20">
        <v>150</v>
      </c>
      <c r="D20">
        <v>9</v>
      </c>
      <c r="E20">
        <v>0</v>
      </c>
      <c r="F20">
        <v>97</v>
      </c>
      <c r="G20" s="1">
        <f t="shared" si="3"/>
        <v>0</v>
      </c>
      <c r="H20" s="1" t="str">
        <f t="shared" si="4"/>
        <v>&lt;=15009</v>
      </c>
      <c r="J20">
        <v>9</v>
      </c>
      <c r="K20" s="1">
        <f t="shared" si="0"/>
        <v>0</v>
      </c>
      <c r="L20" s="1">
        <f t="shared" si="0"/>
        <v>1.7595307917888565E-2</v>
      </c>
      <c r="M20" s="1">
        <f t="shared" si="0"/>
        <v>1.7475728155339806E-2</v>
      </c>
      <c r="N20" s="1">
        <f t="shared" si="0"/>
        <v>2.0078354554358472E-2</v>
      </c>
      <c r="O20" s="1">
        <f t="shared" si="0"/>
        <v>1.4294996751137101E-2</v>
      </c>
      <c r="P20" s="1">
        <f t="shared" si="0"/>
        <v>1.1405207660856467E-2</v>
      </c>
      <c r="Q20" s="1">
        <f t="shared" si="0"/>
        <v>7.0911722141823444E-3</v>
      </c>
      <c r="R20" s="1">
        <f t="shared" si="0"/>
        <v>6.8679821214433666E-3</v>
      </c>
      <c r="S20" s="1">
        <f t="shared" si="0"/>
        <v>6.6039061402276243E-3</v>
      </c>
    </row>
    <row r="21" spans="1:19" x14ac:dyDescent="0.45">
      <c r="A21" t="str">
        <f t="shared" si="1"/>
        <v>&lt;=150</v>
      </c>
      <c r="B21">
        <f t="shared" si="2"/>
        <v>10</v>
      </c>
      <c r="C21">
        <v>150</v>
      </c>
      <c r="D21">
        <v>10</v>
      </c>
      <c r="E21">
        <v>1</v>
      </c>
      <c r="F21">
        <v>75</v>
      </c>
      <c r="G21" s="1">
        <f t="shared" si="3"/>
        <v>1.3333333333333334E-2</v>
      </c>
      <c r="H21" s="1" t="str">
        <f t="shared" si="4"/>
        <v>&lt;=15010</v>
      </c>
      <c r="J21">
        <v>10</v>
      </c>
      <c r="K21" s="1">
        <f t="shared" si="0"/>
        <v>1.3333333333333334E-2</v>
      </c>
      <c r="L21" s="1">
        <f t="shared" si="0"/>
        <v>1.7361111111111112E-2</v>
      </c>
      <c r="M21" s="1">
        <f t="shared" si="0"/>
        <v>2.768166089965398E-2</v>
      </c>
      <c r="N21" s="1">
        <f t="shared" si="0"/>
        <v>1.560758082497213E-2</v>
      </c>
      <c r="O21" s="1">
        <f t="shared" si="0"/>
        <v>9.1474570069520669E-3</v>
      </c>
      <c r="P21" s="1">
        <f t="shared" si="0"/>
        <v>9.4051257935574891E-3</v>
      </c>
      <c r="Q21" s="1">
        <f t="shared" si="0"/>
        <v>8.6499845535990116E-3</v>
      </c>
      <c r="R21" s="1">
        <f t="shared" si="0"/>
        <v>8.179029876178575E-3</v>
      </c>
      <c r="S21" s="1">
        <f t="shared" si="0"/>
        <v>7.1592210767468497E-3</v>
      </c>
    </row>
    <row r="22" spans="1:19" x14ac:dyDescent="0.45">
      <c r="A22" t="str">
        <f t="shared" si="1"/>
        <v>&lt;=150</v>
      </c>
      <c r="B22">
        <f t="shared" si="2"/>
        <v>11</v>
      </c>
      <c r="C22">
        <v>150</v>
      </c>
      <c r="D22">
        <v>11</v>
      </c>
      <c r="E22">
        <v>1</v>
      </c>
      <c r="F22">
        <v>52</v>
      </c>
      <c r="G22" s="1">
        <f t="shared" si="3"/>
        <v>1.9230769230769232E-2</v>
      </c>
      <c r="H22" s="1" t="str">
        <f t="shared" si="4"/>
        <v>&lt;=15011</v>
      </c>
      <c r="J22">
        <v>11</v>
      </c>
      <c r="K22" s="1">
        <f t="shared" ref="K22:S31" si="5">INDEX($G$12:$G$192,MATCH(CONCATENATE(K$11,IF(LEN($J22)=1,CONCATENATE(0,$J22),$J22)),$H$12:$H$192,0))</f>
        <v>1.9230769230769232E-2</v>
      </c>
      <c r="L22" s="1">
        <f t="shared" si="5"/>
        <v>1.8433179723502304E-2</v>
      </c>
      <c r="M22" s="1">
        <f t="shared" si="5"/>
        <v>8.7463556851311956E-3</v>
      </c>
      <c r="N22" s="1">
        <f t="shared" si="5"/>
        <v>1.0526315789473684E-2</v>
      </c>
      <c r="O22" s="1">
        <f t="shared" si="5"/>
        <v>1.101141924959217E-2</v>
      </c>
      <c r="P22" s="1">
        <f t="shared" si="5"/>
        <v>8.6912065439672809E-3</v>
      </c>
      <c r="Q22" s="1">
        <f t="shared" si="5"/>
        <v>5.3763440860215058E-3</v>
      </c>
      <c r="R22" s="1">
        <f t="shared" si="5"/>
        <v>7.8869923484402582E-3</v>
      </c>
      <c r="S22" s="1">
        <f t="shared" si="5"/>
        <v>7.0175438596491229E-3</v>
      </c>
    </row>
    <row r="23" spans="1:19" x14ac:dyDescent="0.45">
      <c r="A23" t="str">
        <f t="shared" si="1"/>
        <v>&lt;=150</v>
      </c>
      <c r="B23">
        <f t="shared" si="2"/>
        <v>12</v>
      </c>
      <c r="C23">
        <v>150</v>
      </c>
      <c r="D23">
        <v>12</v>
      </c>
      <c r="E23">
        <v>3</v>
      </c>
      <c r="F23">
        <v>45</v>
      </c>
      <c r="G23" s="1">
        <f t="shared" si="3"/>
        <v>6.6666666666666666E-2</v>
      </c>
      <c r="H23" s="1" t="str">
        <f t="shared" si="4"/>
        <v>&lt;=15012</v>
      </c>
      <c r="J23">
        <v>12</v>
      </c>
      <c r="K23" s="1">
        <f t="shared" si="5"/>
        <v>6.6666666666666666E-2</v>
      </c>
      <c r="L23" s="1">
        <f t="shared" si="5"/>
        <v>1.1764705882352941E-2</v>
      </c>
      <c r="M23" s="1">
        <f t="shared" si="5"/>
        <v>1.3333333333333334E-2</v>
      </c>
      <c r="N23" s="1">
        <f t="shared" si="5"/>
        <v>1.4763014763014764E-2</v>
      </c>
      <c r="O23" s="1">
        <f t="shared" si="5"/>
        <v>7.4384007438400741E-3</v>
      </c>
      <c r="P23" s="1">
        <f t="shared" si="5"/>
        <v>6.954102920723227E-3</v>
      </c>
      <c r="Q23" s="1">
        <f t="shared" si="5"/>
        <v>5.1795580110497235E-3</v>
      </c>
      <c r="R23" s="1">
        <f t="shared" si="5"/>
        <v>3.7671649046056629E-3</v>
      </c>
      <c r="S23" s="1">
        <f t="shared" si="5"/>
        <v>4.3071439180157435E-3</v>
      </c>
    </row>
    <row r="24" spans="1:19" x14ac:dyDescent="0.45">
      <c r="A24" t="str">
        <f t="shared" si="1"/>
        <v>&lt;=150</v>
      </c>
      <c r="B24">
        <f t="shared" si="2"/>
        <v>13</v>
      </c>
      <c r="C24">
        <v>150</v>
      </c>
      <c r="D24">
        <v>13</v>
      </c>
      <c r="E24">
        <v>1</v>
      </c>
      <c r="F24">
        <v>35</v>
      </c>
      <c r="G24" s="1">
        <f t="shared" si="3"/>
        <v>2.8571428571428571E-2</v>
      </c>
      <c r="H24" s="1" t="str">
        <f t="shared" si="4"/>
        <v>&lt;=15013</v>
      </c>
      <c r="J24">
        <v>13</v>
      </c>
      <c r="K24" s="1">
        <f t="shared" si="5"/>
        <v>2.8571428571428571E-2</v>
      </c>
      <c r="L24" s="1">
        <f t="shared" si="5"/>
        <v>7.3529411764705881E-3</v>
      </c>
      <c r="M24" s="1">
        <f t="shared" si="5"/>
        <v>1.201923076923077E-2</v>
      </c>
      <c r="N24" s="1">
        <f t="shared" si="5"/>
        <v>1.0607521697203472E-2</v>
      </c>
      <c r="O24" s="1">
        <f t="shared" si="5"/>
        <v>3.7654653039268424E-3</v>
      </c>
      <c r="P24" s="1">
        <f t="shared" si="5"/>
        <v>4.8470160557406846E-3</v>
      </c>
      <c r="Q24" s="1">
        <f t="shared" si="5"/>
        <v>3.8468583989741713E-3</v>
      </c>
      <c r="R24" s="1">
        <f t="shared" si="5"/>
        <v>4.02060560371906E-3</v>
      </c>
      <c r="S24" s="1">
        <f t="shared" si="5"/>
        <v>3.8179596823457542E-3</v>
      </c>
    </row>
    <row r="25" spans="1:19" x14ac:dyDescent="0.45">
      <c r="A25" t="str">
        <f t="shared" si="1"/>
        <v>&lt;=150</v>
      </c>
      <c r="B25">
        <f t="shared" si="2"/>
        <v>14</v>
      </c>
      <c r="C25">
        <v>150</v>
      </c>
      <c r="D25">
        <v>14</v>
      </c>
      <c r="E25">
        <v>0</v>
      </c>
      <c r="F25">
        <v>28</v>
      </c>
      <c r="G25" s="1">
        <f t="shared" si="3"/>
        <v>0</v>
      </c>
      <c r="H25" s="1" t="str">
        <f t="shared" si="4"/>
        <v>&lt;=15014</v>
      </c>
      <c r="J25">
        <v>14</v>
      </c>
      <c r="K25" s="1">
        <f t="shared" si="5"/>
        <v>0</v>
      </c>
      <c r="L25" s="1">
        <f t="shared" si="5"/>
        <v>0</v>
      </c>
      <c r="M25" s="1">
        <f t="shared" si="5"/>
        <v>1.7751479289940829E-2</v>
      </c>
      <c r="N25" s="1">
        <f t="shared" si="5"/>
        <v>1.1160714285714286E-2</v>
      </c>
      <c r="O25" s="1">
        <f t="shared" si="5"/>
        <v>2.4257125530624622E-3</v>
      </c>
      <c r="P25" s="1">
        <f t="shared" si="5"/>
        <v>4.6901172529313232E-3</v>
      </c>
      <c r="Q25" s="1">
        <f t="shared" si="5"/>
        <v>3.8513383400731755E-3</v>
      </c>
      <c r="R25" s="1">
        <f t="shared" si="5"/>
        <v>4.8089420327527945E-3</v>
      </c>
      <c r="S25" s="1">
        <f t="shared" si="5"/>
        <v>3.5937500000000002E-3</v>
      </c>
    </row>
    <row r="26" spans="1:19" x14ac:dyDescent="0.45">
      <c r="A26" t="str">
        <f t="shared" si="1"/>
        <v>&lt;=150</v>
      </c>
      <c r="B26">
        <f t="shared" si="2"/>
        <v>15</v>
      </c>
      <c r="C26">
        <v>150</v>
      </c>
      <c r="D26">
        <v>15</v>
      </c>
      <c r="E26">
        <v>0</v>
      </c>
      <c r="F26">
        <v>21</v>
      </c>
      <c r="G26" s="1">
        <f t="shared" si="3"/>
        <v>0</v>
      </c>
      <c r="H26" s="1" t="str">
        <f t="shared" si="4"/>
        <v>&lt;=15015</v>
      </c>
      <c r="J26">
        <v>15</v>
      </c>
      <c r="K26" s="1">
        <f t="shared" si="5"/>
        <v>0</v>
      </c>
      <c r="L26" s="1">
        <f t="shared" si="5"/>
        <v>1.1627906976744186E-2</v>
      </c>
      <c r="M26" s="1">
        <f t="shared" si="5"/>
        <v>1.4084507042253521E-2</v>
      </c>
      <c r="N26" s="1">
        <f t="shared" si="5"/>
        <v>6.4850843060959796E-3</v>
      </c>
      <c r="O26" s="1">
        <f t="shared" si="5"/>
        <v>4.048582995951417E-3</v>
      </c>
      <c r="P26" s="1">
        <f t="shared" si="5"/>
        <v>3.6764705882352941E-3</v>
      </c>
      <c r="Q26" s="1">
        <f t="shared" si="5"/>
        <v>3.0599755201958386E-3</v>
      </c>
      <c r="R26" s="1">
        <f t="shared" si="5"/>
        <v>4.7119009154550353E-3</v>
      </c>
      <c r="S26" s="1">
        <f t="shared" si="5"/>
        <v>3.3794657225619568E-3</v>
      </c>
    </row>
    <row r="27" spans="1:19" x14ac:dyDescent="0.45">
      <c r="A27" t="str">
        <f t="shared" si="1"/>
        <v>&lt;=150</v>
      </c>
      <c r="B27">
        <f t="shared" si="2"/>
        <v>16</v>
      </c>
      <c r="C27">
        <v>150</v>
      </c>
      <c r="D27">
        <v>16</v>
      </c>
      <c r="E27">
        <v>0</v>
      </c>
      <c r="F27">
        <v>16</v>
      </c>
      <c r="G27" s="1">
        <f t="shared" si="3"/>
        <v>0</v>
      </c>
      <c r="H27" s="1" t="str">
        <f t="shared" si="4"/>
        <v>&lt;=15016</v>
      </c>
      <c r="J27">
        <v>16</v>
      </c>
      <c r="K27" s="1">
        <f t="shared" si="5"/>
        <v>0</v>
      </c>
      <c r="L27" s="1">
        <f t="shared" si="5"/>
        <v>1.3698630136986301E-2</v>
      </c>
      <c r="M27" s="1">
        <f t="shared" si="5"/>
        <v>8.5836909871244635E-3</v>
      </c>
      <c r="N27" s="1">
        <f t="shared" si="5"/>
        <v>1.3412816691505217E-2</v>
      </c>
      <c r="O27" s="1">
        <f t="shared" si="5"/>
        <v>2.2658610271903325E-3</v>
      </c>
      <c r="P27" s="1">
        <f t="shared" si="5"/>
        <v>5.9880239520958087E-3</v>
      </c>
      <c r="Q27" s="1">
        <f t="shared" si="5"/>
        <v>3.4283265481037067E-3</v>
      </c>
      <c r="R27" s="1">
        <f t="shared" si="5"/>
        <v>2.9247910863509749E-3</v>
      </c>
      <c r="S27" s="1">
        <f t="shared" si="5"/>
        <v>3.5842293906810036E-3</v>
      </c>
    </row>
    <row r="28" spans="1:19" x14ac:dyDescent="0.45">
      <c r="A28" t="str">
        <f t="shared" si="1"/>
        <v>&lt;=150</v>
      </c>
      <c r="B28">
        <f t="shared" si="2"/>
        <v>17</v>
      </c>
      <c r="C28">
        <v>150</v>
      </c>
      <c r="D28">
        <v>17</v>
      </c>
      <c r="E28">
        <v>0</v>
      </c>
      <c r="F28">
        <v>14</v>
      </c>
      <c r="G28" s="1">
        <f t="shared" si="3"/>
        <v>0</v>
      </c>
      <c r="H28" s="1" t="str">
        <f t="shared" si="4"/>
        <v>&lt;=15017</v>
      </c>
      <c r="J28">
        <v>17</v>
      </c>
      <c r="K28" s="1">
        <f t="shared" si="5"/>
        <v>0</v>
      </c>
      <c r="L28" s="1">
        <f t="shared" si="5"/>
        <v>1.4925373134328358E-2</v>
      </c>
      <c r="M28" s="1">
        <f t="shared" si="5"/>
        <v>1.5306122448979591E-2</v>
      </c>
      <c r="N28" s="1">
        <f t="shared" si="5"/>
        <v>1.736111111111111E-3</v>
      </c>
      <c r="O28" s="1">
        <f t="shared" si="5"/>
        <v>2.5445292620865142E-3</v>
      </c>
      <c r="P28" s="1">
        <f t="shared" si="5"/>
        <v>4.7598442232799658E-3</v>
      </c>
      <c r="Q28" s="1">
        <f t="shared" si="5"/>
        <v>3.609293931874577E-3</v>
      </c>
      <c r="R28" s="1">
        <f t="shared" si="5"/>
        <v>3.625290023201856E-3</v>
      </c>
      <c r="S28" s="1">
        <f t="shared" si="5"/>
        <v>2.660901380342591E-3</v>
      </c>
    </row>
    <row r="29" spans="1:19" x14ac:dyDescent="0.45">
      <c r="A29" t="str">
        <f t="shared" si="1"/>
        <v>&lt;=150</v>
      </c>
      <c r="B29">
        <f t="shared" si="2"/>
        <v>18</v>
      </c>
      <c r="C29">
        <v>150</v>
      </c>
      <c r="D29">
        <v>18</v>
      </c>
      <c r="E29">
        <v>0</v>
      </c>
      <c r="F29">
        <v>10</v>
      </c>
      <c r="G29" s="1">
        <f t="shared" si="3"/>
        <v>0</v>
      </c>
      <c r="H29" s="1" t="str">
        <f t="shared" si="4"/>
        <v>&lt;=15018</v>
      </c>
      <c r="J29">
        <v>18</v>
      </c>
      <c r="K29" s="1">
        <f t="shared" si="5"/>
        <v>0</v>
      </c>
      <c r="L29" s="1">
        <f t="shared" si="5"/>
        <v>0</v>
      </c>
      <c r="M29" s="1">
        <f t="shared" si="5"/>
        <v>6.1728395061728392E-3</v>
      </c>
      <c r="N29" s="1">
        <f t="shared" si="5"/>
        <v>5.8708414872798431E-3</v>
      </c>
      <c r="O29" s="1">
        <f t="shared" si="5"/>
        <v>2.859866539561487E-3</v>
      </c>
      <c r="P29" s="1">
        <f t="shared" si="5"/>
        <v>3.8113387327298712E-3</v>
      </c>
      <c r="Q29" s="1">
        <f t="shared" si="5"/>
        <v>2.6493256262042388E-3</v>
      </c>
      <c r="R29" s="1">
        <f t="shared" si="5"/>
        <v>4.3760374226648555E-3</v>
      </c>
      <c r="S29" s="1">
        <f t="shared" si="5"/>
        <v>2.0408163265306124E-3</v>
      </c>
    </row>
    <row r="30" spans="1:19" x14ac:dyDescent="0.45">
      <c r="A30" t="str">
        <f t="shared" si="1"/>
        <v>&lt;=150</v>
      </c>
      <c r="B30">
        <f t="shared" si="2"/>
        <v>19</v>
      </c>
      <c r="C30">
        <v>150</v>
      </c>
      <c r="D30">
        <v>19</v>
      </c>
      <c r="E30">
        <v>0</v>
      </c>
      <c r="F30">
        <v>7</v>
      </c>
      <c r="G30" s="1">
        <f t="shared" si="3"/>
        <v>0</v>
      </c>
      <c r="H30" s="1" t="str">
        <f t="shared" si="4"/>
        <v>&lt;=15019</v>
      </c>
      <c r="J30">
        <v>19</v>
      </c>
      <c r="K30" s="1">
        <f t="shared" si="5"/>
        <v>0</v>
      </c>
      <c r="L30" s="1">
        <f t="shared" si="5"/>
        <v>0</v>
      </c>
      <c r="M30" s="1">
        <f t="shared" si="5"/>
        <v>8.130081300813009E-3</v>
      </c>
      <c r="N30" s="1">
        <f t="shared" si="5"/>
        <v>9.7799511002444987E-3</v>
      </c>
      <c r="O30" s="1">
        <f t="shared" si="5"/>
        <v>4.608294930875576E-3</v>
      </c>
      <c r="P30" s="1">
        <f t="shared" si="5"/>
        <v>2.1220159151193632E-3</v>
      </c>
      <c r="Q30" s="1">
        <f t="shared" si="5"/>
        <v>2.8593709383935534E-3</v>
      </c>
      <c r="R30" s="1">
        <f t="shared" si="5"/>
        <v>3.4848724853476952E-3</v>
      </c>
      <c r="S30" s="1">
        <f t="shared" si="5"/>
        <v>2.8030833917309038E-3</v>
      </c>
    </row>
    <row r="31" spans="1:19" x14ac:dyDescent="0.45">
      <c r="A31" t="str">
        <f t="shared" si="1"/>
        <v>&lt;=150</v>
      </c>
      <c r="B31" t="str">
        <f t="shared" si="2"/>
        <v>20+</v>
      </c>
      <c r="C31">
        <v>150</v>
      </c>
      <c r="D31">
        <v>99</v>
      </c>
      <c r="E31">
        <v>0</v>
      </c>
      <c r="F31">
        <v>8</v>
      </c>
      <c r="G31" s="1">
        <f t="shared" si="3"/>
        <v>0</v>
      </c>
      <c r="H31" s="1" t="str">
        <f t="shared" si="4"/>
        <v>&lt;=15020+</v>
      </c>
      <c r="J31" t="s">
        <v>0</v>
      </c>
      <c r="K31" s="1">
        <f t="shared" si="5"/>
        <v>0</v>
      </c>
      <c r="L31" s="1">
        <f t="shared" si="5"/>
        <v>0</v>
      </c>
      <c r="M31" s="1">
        <f t="shared" si="5"/>
        <v>1.0638297872340425E-2</v>
      </c>
      <c r="N31" s="1">
        <f t="shared" si="5"/>
        <v>4.5385779122541605E-3</v>
      </c>
      <c r="O31" s="1">
        <f t="shared" si="5"/>
        <v>4.1279669762641896E-3</v>
      </c>
      <c r="P31" s="1">
        <f t="shared" si="5"/>
        <v>6.4196625091709463E-3</v>
      </c>
      <c r="Q31" s="1">
        <f t="shared" si="5"/>
        <v>5.6022408963585435E-3</v>
      </c>
      <c r="R31" s="1">
        <f t="shared" si="5"/>
        <v>5.1121544079290558E-3</v>
      </c>
      <c r="S31" s="1">
        <f t="shared" si="5"/>
        <v>5.9893958237873931E-3</v>
      </c>
    </row>
    <row r="32" spans="1:19" x14ac:dyDescent="0.45">
      <c r="A32">
        <f t="shared" si="1"/>
        <v>200</v>
      </c>
      <c r="B32">
        <f t="shared" si="2"/>
        <v>1</v>
      </c>
      <c r="C32">
        <v>200</v>
      </c>
      <c r="D32">
        <v>1</v>
      </c>
      <c r="E32">
        <v>735</v>
      </c>
      <c r="F32">
        <v>2340</v>
      </c>
      <c r="G32" s="1">
        <f t="shared" si="3"/>
        <v>0.3141025641025641</v>
      </c>
      <c r="H32" s="1" t="str">
        <f t="shared" si="4"/>
        <v>20001</v>
      </c>
    </row>
    <row r="33" spans="1:8" x14ac:dyDescent="0.45">
      <c r="A33">
        <f t="shared" si="1"/>
        <v>200</v>
      </c>
      <c r="B33">
        <f t="shared" si="2"/>
        <v>2</v>
      </c>
      <c r="C33">
        <v>200</v>
      </c>
      <c r="D33">
        <v>2</v>
      </c>
      <c r="E33">
        <v>155</v>
      </c>
      <c r="F33">
        <v>1142</v>
      </c>
      <c r="G33" s="1">
        <f t="shared" si="3"/>
        <v>0.13572679509632224</v>
      </c>
      <c r="H33" s="1" t="str">
        <f t="shared" si="4"/>
        <v>20002</v>
      </c>
    </row>
    <row r="34" spans="1:8" x14ac:dyDescent="0.45">
      <c r="A34">
        <f t="shared" si="1"/>
        <v>200</v>
      </c>
      <c r="B34">
        <f t="shared" si="2"/>
        <v>3</v>
      </c>
      <c r="C34">
        <v>200</v>
      </c>
      <c r="D34">
        <v>3</v>
      </c>
      <c r="E34">
        <v>82</v>
      </c>
      <c r="F34">
        <v>880</v>
      </c>
      <c r="G34" s="1">
        <f t="shared" si="3"/>
        <v>9.3181818181818185E-2</v>
      </c>
      <c r="H34" s="1" t="str">
        <f t="shared" si="4"/>
        <v>20003</v>
      </c>
    </row>
    <row r="35" spans="1:8" x14ac:dyDescent="0.45">
      <c r="A35">
        <f t="shared" si="1"/>
        <v>200</v>
      </c>
      <c r="B35">
        <f t="shared" si="2"/>
        <v>4</v>
      </c>
      <c r="C35">
        <v>200</v>
      </c>
      <c r="D35">
        <v>4</v>
      </c>
      <c r="E35">
        <v>74</v>
      </c>
      <c r="F35">
        <v>732</v>
      </c>
      <c r="G35" s="1">
        <f t="shared" si="3"/>
        <v>0.10109289617486339</v>
      </c>
      <c r="H35" s="1" t="str">
        <f t="shared" si="4"/>
        <v>20004</v>
      </c>
    </row>
    <row r="36" spans="1:8" x14ac:dyDescent="0.45">
      <c r="A36">
        <f t="shared" si="1"/>
        <v>200</v>
      </c>
      <c r="B36">
        <f t="shared" si="2"/>
        <v>5</v>
      </c>
      <c r="C36">
        <v>200</v>
      </c>
      <c r="D36">
        <v>5</v>
      </c>
      <c r="E36">
        <v>36</v>
      </c>
      <c r="F36">
        <v>690</v>
      </c>
      <c r="G36" s="1">
        <f t="shared" si="3"/>
        <v>5.2173913043478258E-2</v>
      </c>
      <c r="H36" s="1" t="str">
        <f t="shared" si="4"/>
        <v>20005</v>
      </c>
    </row>
    <row r="37" spans="1:8" x14ac:dyDescent="0.45">
      <c r="A37">
        <f t="shared" si="1"/>
        <v>200</v>
      </c>
      <c r="B37">
        <f t="shared" si="2"/>
        <v>6</v>
      </c>
      <c r="C37">
        <v>200</v>
      </c>
      <c r="D37">
        <v>6</v>
      </c>
      <c r="E37">
        <v>22</v>
      </c>
      <c r="F37">
        <v>631</v>
      </c>
      <c r="G37" s="1">
        <f t="shared" si="3"/>
        <v>3.486529318541997E-2</v>
      </c>
      <c r="H37" s="1" t="str">
        <f t="shared" si="4"/>
        <v>20006</v>
      </c>
    </row>
    <row r="38" spans="1:8" x14ac:dyDescent="0.45">
      <c r="A38">
        <f t="shared" si="1"/>
        <v>200</v>
      </c>
      <c r="B38">
        <f t="shared" si="2"/>
        <v>7</v>
      </c>
      <c r="C38">
        <v>200</v>
      </c>
      <c r="D38">
        <v>7</v>
      </c>
      <c r="E38">
        <v>14</v>
      </c>
      <c r="F38">
        <v>594</v>
      </c>
      <c r="G38" s="1">
        <f t="shared" si="3"/>
        <v>2.3569023569023569E-2</v>
      </c>
      <c r="H38" s="1" t="str">
        <f t="shared" si="4"/>
        <v>20007</v>
      </c>
    </row>
    <row r="39" spans="1:8" x14ac:dyDescent="0.45">
      <c r="A39">
        <f t="shared" si="1"/>
        <v>200</v>
      </c>
      <c r="B39">
        <f t="shared" si="2"/>
        <v>8</v>
      </c>
      <c r="C39">
        <v>200</v>
      </c>
      <c r="D39">
        <v>8</v>
      </c>
      <c r="E39">
        <v>8</v>
      </c>
      <c r="F39">
        <v>449</v>
      </c>
      <c r="G39" s="1">
        <f t="shared" si="3"/>
        <v>1.7817371937639197E-2</v>
      </c>
      <c r="H39" s="1" t="str">
        <f t="shared" si="4"/>
        <v>20008</v>
      </c>
    </row>
    <row r="40" spans="1:8" x14ac:dyDescent="0.45">
      <c r="A40">
        <f t="shared" si="1"/>
        <v>200</v>
      </c>
      <c r="B40">
        <f t="shared" si="2"/>
        <v>9</v>
      </c>
      <c r="C40">
        <v>200</v>
      </c>
      <c r="D40">
        <v>9</v>
      </c>
      <c r="E40">
        <v>6</v>
      </c>
      <c r="F40">
        <v>341</v>
      </c>
      <c r="G40" s="1">
        <f t="shared" si="3"/>
        <v>1.7595307917888565E-2</v>
      </c>
      <c r="H40" s="1" t="str">
        <f t="shared" si="4"/>
        <v>20009</v>
      </c>
    </row>
    <row r="41" spans="1:8" x14ac:dyDescent="0.45">
      <c r="A41">
        <f t="shared" si="1"/>
        <v>200</v>
      </c>
      <c r="B41">
        <f t="shared" si="2"/>
        <v>10</v>
      </c>
      <c r="C41">
        <v>200</v>
      </c>
      <c r="D41">
        <v>10</v>
      </c>
      <c r="E41">
        <v>5</v>
      </c>
      <c r="F41">
        <v>288</v>
      </c>
      <c r="G41" s="1">
        <f t="shared" si="3"/>
        <v>1.7361111111111112E-2</v>
      </c>
      <c r="H41" s="1" t="str">
        <f t="shared" si="4"/>
        <v>20010</v>
      </c>
    </row>
    <row r="42" spans="1:8" x14ac:dyDescent="0.45">
      <c r="A42">
        <f t="shared" si="1"/>
        <v>200</v>
      </c>
      <c r="B42">
        <f t="shared" si="2"/>
        <v>11</v>
      </c>
      <c r="C42">
        <v>200</v>
      </c>
      <c r="D42">
        <v>11</v>
      </c>
      <c r="E42">
        <v>4</v>
      </c>
      <c r="F42">
        <v>217</v>
      </c>
      <c r="G42" s="1">
        <f t="shared" si="3"/>
        <v>1.8433179723502304E-2</v>
      </c>
      <c r="H42" s="1" t="str">
        <f t="shared" si="4"/>
        <v>20011</v>
      </c>
    </row>
    <row r="43" spans="1:8" x14ac:dyDescent="0.45">
      <c r="A43">
        <f t="shared" si="1"/>
        <v>200</v>
      </c>
      <c r="B43">
        <f t="shared" si="2"/>
        <v>12</v>
      </c>
      <c r="C43">
        <v>200</v>
      </c>
      <c r="D43">
        <v>12</v>
      </c>
      <c r="E43">
        <v>2</v>
      </c>
      <c r="F43">
        <v>170</v>
      </c>
      <c r="G43" s="1">
        <f t="shared" si="3"/>
        <v>1.1764705882352941E-2</v>
      </c>
      <c r="H43" s="1" t="str">
        <f t="shared" si="4"/>
        <v>20012</v>
      </c>
    </row>
    <row r="44" spans="1:8" x14ac:dyDescent="0.45">
      <c r="A44">
        <f t="shared" si="1"/>
        <v>200</v>
      </c>
      <c r="B44">
        <f t="shared" si="2"/>
        <v>13</v>
      </c>
      <c r="C44">
        <v>200</v>
      </c>
      <c r="D44">
        <v>13</v>
      </c>
      <c r="E44">
        <v>1</v>
      </c>
      <c r="F44">
        <v>136</v>
      </c>
      <c r="G44" s="1">
        <f t="shared" ref="G44:G75" si="6">E44/F44</f>
        <v>7.3529411764705881E-3</v>
      </c>
      <c r="H44" s="1" t="str">
        <f t="shared" si="4"/>
        <v>20013</v>
      </c>
    </row>
    <row r="45" spans="1:8" x14ac:dyDescent="0.45">
      <c r="A45">
        <f t="shared" si="1"/>
        <v>200</v>
      </c>
      <c r="B45">
        <f t="shared" si="2"/>
        <v>14</v>
      </c>
      <c r="C45">
        <v>200</v>
      </c>
      <c r="D45">
        <v>14</v>
      </c>
      <c r="E45">
        <v>0</v>
      </c>
      <c r="F45">
        <v>100</v>
      </c>
      <c r="G45" s="1">
        <f t="shared" si="6"/>
        <v>0</v>
      </c>
      <c r="H45" s="1" t="str">
        <f t="shared" si="4"/>
        <v>20014</v>
      </c>
    </row>
    <row r="46" spans="1:8" x14ac:dyDescent="0.45">
      <c r="A46">
        <f t="shared" si="1"/>
        <v>200</v>
      </c>
      <c r="B46">
        <f t="shared" si="2"/>
        <v>15</v>
      </c>
      <c r="C46">
        <v>200</v>
      </c>
      <c r="D46">
        <v>15</v>
      </c>
      <c r="E46">
        <v>1</v>
      </c>
      <c r="F46">
        <v>86</v>
      </c>
      <c r="G46" s="1">
        <f t="shared" si="6"/>
        <v>1.1627906976744186E-2</v>
      </c>
      <c r="H46" s="1" t="str">
        <f t="shared" si="4"/>
        <v>20015</v>
      </c>
    </row>
    <row r="47" spans="1:8" x14ac:dyDescent="0.45">
      <c r="A47">
        <f t="shared" si="1"/>
        <v>200</v>
      </c>
      <c r="B47">
        <f t="shared" si="2"/>
        <v>16</v>
      </c>
      <c r="C47">
        <v>200</v>
      </c>
      <c r="D47">
        <v>16</v>
      </c>
      <c r="E47">
        <v>1</v>
      </c>
      <c r="F47">
        <v>73</v>
      </c>
      <c r="G47" s="1">
        <f t="shared" si="6"/>
        <v>1.3698630136986301E-2</v>
      </c>
      <c r="H47" s="1" t="str">
        <f t="shared" si="4"/>
        <v>20016</v>
      </c>
    </row>
    <row r="48" spans="1:8" x14ac:dyDescent="0.45">
      <c r="A48">
        <f t="shared" si="1"/>
        <v>200</v>
      </c>
      <c r="B48">
        <f t="shared" si="2"/>
        <v>17</v>
      </c>
      <c r="C48">
        <v>200</v>
      </c>
      <c r="D48">
        <v>17</v>
      </c>
      <c r="E48">
        <v>1</v>
      </c>
      <c r="F48">
        <v>67</v>
      </c>
      <c r="G48" s="1">
        <f t="shared" si="6"/>
        <v>1.4925373134328358E-2</v>
      </c>
      <c r="H48" s="1" t="str">
        <f t="shared" si="4"/>
        <v>20017</v>
      </c>
    </row>
    <row r="49" spans="1:8" x14ac:dyDescent="0.45">
      <c r="A49">
        <f t="shared" si="1"/>
        <v>200</v>
      </c>
      <c r="B49">
        <f t="shared" si="2"/>
        <v>18</v>
      </c>
      <c r="C49">
        <v>200</v>
      </c>
      <c r="D49">
        <v>18</v>
      </c>
      <c r="E49">
        <v>0</v>
      </c>
      <c r="F49">
        <v>52</v>
      </c>
      <c r="G49" s="1">
        <f t="shared" si="6"/>
        <v>0</v>
      </c>
      <c r="H49" s="1" t="str">
        <f t="shared" si="4"/>
        <v>20018</v>
      </c>
    </row>
    <row r="50" spans="1:8" x14ac:dyDescent="0.45">
      <c r="A50">
        <f t="shared" si="1"/>
        <v>200</v>
      </c>
      <c r="B50">
        <f t="shared" si="2"/>
        <v>19</v>
      </c>
      <c r="C50">
        <v>200</v>
      </c>
      <c r="D50">
        <v>19</v>
      </c>
      <c r="E50">
        <v>0</v>
      </c>
      <c r="F50">
        <v>39</v>
      </c>
      <c r="G50" s="1">
        <f t="shared" si="6"/>
        <v>0</v>
      </c>
      <c r="H50" s="1" t="str">
        <f t="shared" si="4"/>
        <v>20019</v>
      </c>
    </row>
    <row r="51" spans="1:8" x14ac:dyDescent="0.45">
      <c r="A51">
        <f t="shared" si="1"/>
        <v>200</v>
      </c>
      <c r="B51" t="str">
        <f t="shared" si="2"/>
        <v>20+</v>
      </c>
      <c r="C51">
        <v>200</v>
      </c>
      <c r="D51">
        <v>99</v>
      </c>
      <c r="E51">
        <v>0</v>
      </c>
      <c r="F51">
        <v>57</v>
      </c>
      <c r="G51" s="1">
        <f t="shared" si="6"/>
        <v>0</v>
      </c>
      <c r="H51" s="1" t="str">
        <f t="shared" si="4"/>
        <v>20020+</v>
      </c>
    </row>
    <row r="52" spans="1:8" x14ac:dyDescent="0.45">
      <c r="A52">
        <f t="shared" si="1"/>
        <v>250</v>
      </c>
      <c r="B52">
        <f t="shared" si="2"/>
        <v>1</v>
      </c>
      <c r="C52">
        <v>250</v>
      </c>
      <c r="D52">
        <v>1</v>
      </c>
      <c r="E52">
        <v>1616</v>
      </c>
      <c r="F52">
        <v>5070</v>
      </c>
      <c r="G52" s="1">
        <f t="shared" si="6"/>
        <v>0.3187376725838264</v>
      </c>
      <c r="H52" s="1" t="str">
        <f t="shared" si="4"/>
        <v>25001</v>
      </c>
    </row>
    <row r="53" spans="1:8" x14ac:dyDescent="0.45">
      <c r="A53">
        <f t="shared" si="1"/>
        <v>250</v>
      </c>
      <c r="B53">
        <f t="shared" si="2"/>
        <v>2</v>
      </c>
      <c r="C53">
        <v>250</v>
      </c>
      <c r="D53">
        <v>2</v>
      </c>
      <c r="E53">
        <v>398</v>
      </c>
      <c r="F53">
        <v>2807</v>
      </c>
      <c r="G53" s="1">
        <f t="shared" si="6"/>
        <v>0.1417883861774136</v>
      </c>
      <c r="H53" s="1" t="str">
        <f t="shared" si="4"/>
        <v>25002</v>
      </c>
    </row>
    <row r="54" spans="1:8" x14ac:dyDescent="0.45">
      <c r="A54">
        <f t="shared" si="1"/>
        <v>250</v>
      </c>
      <c r="B54">
        <f t="shared" si="2"/>
        <v>3</v>
      </c>
      <c r="C54">
        <v>250</v>
      </c>
      <c r="D54">
        <v>3</v>
      </c>
      <c r="E54">
        <v>217</v>
      </c>
      <c r="F54">
        <v>2145</v>
      </c>
      <c r="G54" s="1">
        <f t="shared" si="6"/>
        <v>0.10116550116550116</v>
      </c>
      <c r="H54" s="1" t="str">
        <f t="shared" si="4"/>
        <v>25003</v>
      </c>
    </row>
    <row r="55" spans="1:8" x14ac:dyDescent="0.45">
      <c r="A55">
        <f t="shared" si="1"/>
        <v>250</v>
      </c>
      <c r="B55">
        <f t="shared" si="2"/>
        <v>4</v>
      </c>
      <c r="C55">
        <v>250</v>
      </c>
      <c r="D55">
        <v>4</v>
      </c>
      <c r="E55">
        <v>128</v>
      </c>
      <c r="F55">
        <v>1845</v>
      </c>
      <c r="G55" s="1">
        <f t="shared" si="6"/>
        <v>6.9376693766937669E-2</v>
      </c>
      <c r="H55" s="1" t="str">
        <f t="shared" si="4"/>
        <v>25004</v>
      </c>
    </row>
    <row r="56" spans="1:8" x14ac:dyDescent="0.45">
      <c r="A56">
        <f t="shared" si="1"/>
        <v>250</v>
      </c>
      <c r="B56">
        <f t="shared" si="2"/>
        <v>5</v>
      </c>
      <c r="C56">
        <v>250</v>
      </c>
      <c r="D56">
        <v>5</v>
      </c>
      <c r="E56">
        <v>99</v>
      </c>
      <c r="F56">
        <v>1715</v>
      </c>
      <c r="G56" s="1">
        <f t="shared" si="6"/>
        <v>5.772594752186589E-2</v>
      </c>
      <c r="H56" s="1" t="str">
        <f t="shared" si="4"/>
        <v>25005</v>
      </c>
    </row>
    <row r="57" spans="1:8" x14ac:dyDescent="0.45">
      <c r="A57">
        <f t="shared" si="1"/>
        <v>250</v>
      </c>
      <c r="B57">
        <f t="shared" si="2"/>
        <v>6</v>
      </c>
      <c r="C57">
        <v>250</v>
      </c>
      <c r="D57">
        <v>6</v>
      </c>
      <c r="E57">
        <v>65</v>
      </c>
      <c r="F57">
        <v>1604</v>
      </c>
      <c r="G57" s="1">
        <f t="shared" si="6"/>
        <v>4.0523690773067333E-2</v>
      </c>
      <c r="H57" s="1" t="str">
        <f t="shared" si="4"/>
        <v>25006</v>
      </c>
    </row>
    <row r="58" spans="1:8" x14ac:dyDescent="0.45">
      <c r="A58">
        <f t="shared" si="1"/>
        <v>250</v>
      </c>
      <c r="B58">
        <f t="shared" si="2"/>
        <v>7</v>
      </c>
      <c r="C58">
        <v>250</v>
      </c>
      <c r="D58">
        <v>7</v>
      </c>
      <c r="E58">
        <v>55</v>
      </c>
      <c r="F58">
        <v>1481</v>
      </c>
      <c r="G58" s="1">
        <f t="shared" si="6"/>
        <v>3.7137069547602972E-2</v>
      </c>
      <c r="H58" s="1" t="str">
        <f t="shared" si="4"/>
        <v>25007</v>
      </c>
    </row>
    <row r="59" spans="1:8" x14ac:dyDescent="0.45">
      <c r="A59">
        <f t="shared" si="1"/>
        <v>250</v>
      </c>
      <c r="B59">
        <f t="shared" si="2"/>
        <v>8</v>
      </c>
      <c r="C59">
        <v>250</v>
      </c>
      <c r="D59">
        <v>8</v>
      </c>
      <c r="E59">
        <v>38</v>
      </c>
      <c r="F59">
        <v>1250</v>
      </c>
      <c r="G59" s="1">
        <f t="shared" si="6"/>
        <v>3.04E-2</v>
      </c>
      <c r="H59" s="1" t="str">
        <f t="shared" si="4"/>
        <v>25008</v>
      </c>
    </row>
    <row r="60" spans="1:8" x14ac:dyDescent="0.45">
      <c r="A60">
        <f t="shared" si="1"/>
        <v>250</v>
      </c>
      <c r="B60">
        <f t="shared" si="2"/>
        <v>9</v>
      </c>
      <c r="C60">
        <v>250</v>
      </c>
      <c r="D60">
        <v>9</v>
      </c>
      <c r="E60">
        <v>18</v>
      </c>
      <c r="F60">
        <v>1030</v>
      </c>
      <c r="G60" s="1">
        <f t="shared" si="6"/>
        <v>1.7475728155339806E-2</v>
      </c>
      <c r="H60" s="1" t="str">
        <f t="shared" si="4"/>
        <v>25009</v>
      </c>
    </row>
    <row r="61" spans="1:8" x14ac:dyDescent="0.45">
      <c r="A61">
        <f t="shared" si="1"/>
        <v>250</v>
      </c>
      <c r="B61">
        <f t="shared" si="2"/>
        <v>10</v>
      </c>
      <c r="C61">
        <v>250</v>
      </c>
      <c r="D61">
        <v>10</v>
      </c>
      <c r="E61">
        <v>24</v>
      </c>
      <c r="F61">
        <v>867</v>
      </c>
      <c r="G61" s="1">
        <f t="shared" si="6"/>
        <v>2.768166089965398E-2</v>
      </c>
      <c r="H61" s="1" t="str">
        <f t="shared" si="4"/>
        <v>25010</v>
      </c>
    </row>
    <row r="62" spans="1:8" x14ac:dyDescent="0.45">
      <c r="A62">
        <f t="shared" si="1"/>
        <v>250</v>
      </c>
      <c r="B62">
        <f t="shared" si="2"/>
        <v>11</v>
      </c>
      <c r="C62">
        <v>250</v>
      </c>
      <c r="D62">
        <v>11</v>
      </c>
      <c r="E62">
        <v>6</v>
      </c>
      <c r="F62">
        <v>686</v>
      </c>
      <c r="G62" s="1">
        <f t="shared" si="6"/>
        <v>8.7463556851311956E-3</v>
      </c>
      <c r="H62" s="1" t="str">
        <f t="shared" si="4"/>
        <v>25011</v>
      </c>
    </row>
    <row r="63" spans="1:8" x14ac:dyDescent="0.45">
      <c r="A63">
        <f t="shared" si="1"/>
        <v>250</v>
      </c>
      <c r="B63">
        <f t="shared" si="2"/>
        <v>12</v>
      </c>
      <c r="C63">
        <v>250</v>
      </c>
      <c r="D63">
        <v>12</v>
      </c>
      <c r="E63">
        <v>7</v>
      </c>
      <c r="F63">
        <v>525</v>
      </c>
      <c r="G63" s="1">
        <f t="shared" si="6"/>
        <v>1.3333333333333334E-2</v>
      </c>
      <c r="H63" s="1" t="str">
        <f t="shared" si="4"/>
        <v>25012</v>
      </c>
    </row>
    <row r="64" spans="1:8" x14ac:dyDescent="0.45">
      <c r="A64">
        <f t="shared" si="1"/>
        <v>250</v>
      </c>
      <c r="B64">
        <f t="shared" si="2"/>
        <v>13</v>
      </c>
      <c r="C64">
        <v>250</v>
      </c>
      <c r="D64">
        <v>13</v>
      </c>
      <c r="E64">
        <v>5</v>
      </c>
      <c r="F64">
        <v>416</v>
      </c>
      <c r="G64" s="1">
        <f t="shared" si="6"/>
        <v>1.201923076923077E-2</v>
      </c>
      <c r="H64" s="1" t="str">
        <f t="shared" si="4"/>
        <v>25013</v>
      </c>
    </row>
    <row r="65" spans="1:8" x14ac:dyDescent="0.45">
      <c r="A65">
        <f t="shared" si="1"/>
        <v>250</v>
      </c>
      <c r="B65">
        <f t="shared" si="2"/>
        <v>14</v>
      </c>
      <c r="C65">
        <v>250</v>
      </c>
      <c r="D65">
        <v>14</v>
      </c>
      <c r="E65">
        <v>6</v>
      </c>
      <c r="F65">
        <v>338</v>
      </c>
      <c r="G65" s="1">
        <f t="shared" si="6"/>
        <v>1.7751479289940829E-2</v>
      </c>
      <c r="H65" s="1" t="str">
        <f t="shared" si="4"/>
        <v>25014</v>
      </c>
    </row>
    <row r="66" spans="1:8" x14ac:dyDescent="0.45">
      <c r="A66">
        <f t="shared" si="1"/>
        <v>250</v>
      </c>
      <c r="B66">
        <f t="shared" si="2"/>
        <v>15</v>
      </c>
      <c r="C66">
        <v>250</v>
      </c>
      <c r="D66">
        <v>15</v>
      </c>
      <c r="E66">
        <v>4</v>
      </c>
      <c r="F66">
        <v>284</v>
      </c>
      <c r="G66" s="1">
        <f t="shared" si="6"/>
        <v>1.4084507042253521E-2</v>
      </c>
      <c r="H66" s="1" t="str">
        <f t="shared" si="4"/>
        <v>25015</v>
      </c>
    </row>
    <row r="67" spans="1:8" x14ac:dyDescent="0.45">
      <c r="A67">
        <f t="shared" si="1"/>
        <v>250</v>
      </c>
      <c r="B67">
        <f t="shared" si="2"/>
        <v>16</v>
      </c>
      <c r="C67">
        <v>250</v>
      </c>
      <c r="D67">
        <v>16</v>
      </c>
      <c r="E67">
        <v>2</v>
      </c>
      <c r="F67">
        <v>233</v>
      </c>
      <c r="G67" s="1">
        <f t="shared" si="6"/>
        <v>8.5836909871244635E-3</v>
      </c>
      <c r="H67" s="1" t="str">
        <f t="shared" si="4"/>
        <v>25016</v>
      </c>
    </row>
    <row r="68" spans="1:8" x14ac:dyDescent="0.45">
      <c r="A68">
        <f t="shared" si="1"/>
        <v>250</v>
      </c>
      <c r="B68">
        <f t="shared" si="2"/>
        <v>17</v>
      </c>
      <c r="C68">
        <v>250</v>
      </c>
      <c r="D68">
        <v>17</v>
      </c>
      <c r="E68">
        <v>3</v>
      </c>
      <c r="F68">
        <v>196</v>
      </c>
      <c r="G68" s="1">
        <f t="shared" si="6"/>
        <v>1.5306122448979591E-2</v>
      </c>
      <c r="H68" s="1" t="str">
        <f t="shared" si="4"/>
        <v>25017</v>
      </c>
    </row>
    <row r="69" spans="1:8" x14ac:dyDescent="0.45">
      <c r="A69">
        <f t="shared" si="1"/>
        <v>250</v>
      </c>
      <c r="B69">
        <f t="shared" si="2"/>
        <v>18</v>
      </c>
      <c r="C69">
        <v>250</v>
      </c>
      <c r="D69">
        <v>18</v>
      </c>
      <c r="E69">
        <v>1</v>
      </c>
      <c r="F69">
        <v>162</v>
      </c>
      <c r="G69" s="1">
        <f t="shared" si="6"/>
        <v>6.1728395061728392E-3</v>
      </c>
      <c r="H69" s="1" t="str">
        <f t="shared" si="4"/>
        <v>25018</v>
      </c>
    </row>
    <row r="70" spans="1:8" x14ac:dyDescent="0.45">
      <c r="A70">
        <f t="shared" si="1"/>
        <v>250</v>
      </c>
      <c r="B70">
        <f t="shared" si="2"/>
        <v>19</v>
      </c>
      <c r="C70">
        <v>250</v>
      </c>
      <c r="D70">
        <v>19</v>
      </c>
      <c r="E70">
        <v>1</v>
      </c>
      <c r="F70">
        <v>123</v>
      </c>
      <c r="G70" s="1">
        <f t="shared" si="6"/>
        <v>8.130081300813009E-3</v>
      </c>
      <c r="H70" s="1" t="str">
        <f t="shared" si="4"/>
        <v>25019</v>
      </c>
    </row>
    <row r="71" spans="1:8" x14ac:dyDescent="0.45">
      <c r="A71">
        <f t="shared" si="1"/>
        <v>250</v>
      </c>
      <c r="B71" t="str">
        <f t="shared" si="2"/>
        <v>20+</v>
      </c>
      <c r="C71">
        <v>250</v>
      </c>
      <c r="D71">
        <v>99</v>
      </c>
      <c r="E71">
        <v>2</v>
      </c>
      <c r="F71">
        <v>188</v>
      </c>
      <c r="G71" s="1">
        <f t="shared" si="6"/>
        <v>1.0638297872340425E-2</v>
      </c>
      <c r="H71" s="1" t="str">
        <f t="shared" si="4"/>
        <v>25020+</v>
      </c>
    </row>
    <row r="72" spans="1:8" x14ac:dyDescent="0.45">
      <c r="A72">
        <f t="shared" si="1"/>
        <v>300</v>
      </c>
      <c r="B72">
        <f t="shared" si="2"/>
        <v>1</v>
      </c>
      <c r="C72">
        <v>300</v>
      </c>
      <c r="D72">
        <v>1</v>
      </c>
      <c r="E72">
        <v>1870</v>
      </c>
      <c r="F72">
        <v>6884</v>
      </c>
      <c r="G72" s="1">
        <f t="shared" si="6"/>
        <v>0.27164439279488667</v>
      </c>
      <c r="H72" s="1" t="str">
        <f t="shared" si="4"/>
        <v>30001</v>
      </c>
    </row>
    <row r="73" spans="1:8" x14ac:dyDescent="0.45">
      <c r="A73">
        <f t="shared" si="1"/>
        <v>300</v>
      </c>
      <c r="B73">
        <f t="shared" si="2"/>
        <v>2</v>
      </c>
      <c r="C73">
        <v>300</v>
      </c>
      <c r="D73">
        <v>2</v>
      </c>
      <c r="E73">
        <v>520</v>
      </c>
      <c r="F73">
        <v>4559</v>
      </c>
      <c r="G73" s="1">
        <f t="shared" si="6"/>
        <v>0.11406010089932003</v>
      </c>
      <c r="H73" s="1" t="str">
        <f t="shared" si="4"/>
        <v>30002</v>
      </c>
    </row>
    <row r="74" spans="1:8" x14ac:dyDescent="0.45">
      <c r="A74">
        <f t="shared" si="1"/>
        <v>300</v>
      </c>
      <c r="B74">
        <f t="shared" si="2"/>
        <v>3</v>
      </c>
      <c r="C74">
        <v>300</v>
      </c>
      <c r="D74">
        <v>3</v>
      </c>
      <c r="E74">
        <v>284</v>
      </c>
      <c r="F74">
        <v>3630</v>
      </c>
      <c r="G74" s="1">
        <f t="shared" si="6"/>
        <v>7.8236914600550961E-2</v>
      </c>
      <c r="H74" s="1" t="str">
        <f t="shared" si="4"/>
        <v>30003</v>
      </c>
    </row>
    <row r="75" spans="1:8" x14ac:dyDescent="0.45">
      <c r="A75">
        <f t="shared" si="1"/>
        <v>300</v>
      </c>
      <c r="B75">
        <f t="shared" si="2"/>
        <v>4</v>
      </c>
      <c r="C75">
        <v>300</v>
      </c>
      <c r="D75">
        <v>4</v>
      </c>
      <c r="E75">
        <v>179</v>
      </c>
      <c r="F75">
        <v>3205</v>
      </c>
      <c r="G75" s="1">
        <f t="shared" si="6"/>
        <v>5.5850234009360372E-2</v>
      </c>
      <c r="H75" s="1" t="str">
        <f t="shared" si="4"/>
        <v>30004</v>
      </c>
    </row>
    <row r="76" spans="1:8" x14ac:dyDescent="0.45">
      <c r="A76">
        <f t="shared" si="1"/>
        <v>300</v>
      </c>
      <c r="B76">
        <f t="shared" si="2"/>
        <v>5</v>
      </c>
      <c r="C76">
        <v>300</v>
      </c>
      <c r="D76">
        <v>5</v>
      </c>
      <c r="E76">
        <v>140</v>
      </c>
      <c r="F76">
        <v>2975</v>
      </c>
      <c r="G76" s="1">
        <f t="shared" ref="G76:G107" si="7">E76/F76</f>
        <v>4.7058823529411764E-2</v>
      </c>
      <c r="H76" s="1" t="str">
        <f t="shared" si="4"/>
        <v>30005</v>
      </c>
    </row>
    <row r="77" spans="1:8" x14ac:dyDescent="0.45">
      <c r="A77">
        <f t="shared" ref="A77:A140" si="8">IF(C77=150, "&lt;=150", C77)</f>
        <v>300</v>
      </c>
      <c r="B77">
        <f t="shared" ref="B77:B140" si="9">IF(D77=99, "20+", D77)</f>
        <v>6</v>
      </c>
      <c r="C77">
        <v>300</v>
      </c>
      <c r="D77">
        <v>6</v>
      </c>
      <c r="E77">
        <v>100</v>
      </c>
      <c r="F77">
        <v>2756</v>
      </c>
      <c r="G77" s="1">
        <f t="shared" si="7"/>
        <v>3.6284470246734396E-2</v>
      </c>
      <c r="H77" s="1" t="str">
        <f t="shared" ref="H77:H140" si="10">CONCATENATE(A77,IF(LEN(B77)=1,CONCATENATE(0,B77),B77))</f>
        <v>30006</v>
      </c>
    </row>
    <row r="78" spans="1:8" x14ac:dyDescent="0.45">
      <c r="A78">
        <f t="shared" si="8"/>
        <v>300</v>
      </c>
      <c r="B78">
        <f t="shared" si="9"/>
        <v>7</v>
      </c>
      <c r="C78">
        <v>300</v>
      </c>
      <c r="D78">
        <v>7</v>
      </c>
      <c r="E78">
        <v>86</v>
      </c>
      <c r="F78">
        <v>2598</v>
      </c>
      <c r="G78" s="1">
        <f t="shared" si="7"/>
        <v>3.3102386451116246E-2</v>
      </c>
      <c r="H78" s="1" t="str">
        <f t="shared" si="10"/>
        <v>30007</v>
      </c>
    </row>
    <row r="79" spans="1:8" x14ac:dyDescent="0.45">
      <c r="A79">
        <f t="shared" si="8"/>
        <v>300</v>
      </c>
      <c r="B79">
        <f t="shared" si="9"/>
        <v>8</v>
      </c>
      <c r="C79">
        <v>300</v>
      </c>
      <c r="D79">
        <v>8</v>
      </c>
      <c r="E79">
        <v>55</v>
      </c>
      <c r="F79">
        <v>2345</v>
      </c>
      <c r="G79" s="1">
        <f t="shared" si="7"/>
        <v>2.3454157782515993E-2</v>
      </c>
      <c r="H79" s="1" t="str">
        <f t="shared" si="10"/>
        <v>30008</v>
      </c>
    </row>
    <row r="80" spans="1:8" x14ac:dyDescent="0.45">
      <c r="A80">
        <f t="shared" si="8"/>
        <v>300</v>
      </c>
      <c r="B80">
        <f t="shared" si="9"/>
        <v>9</v>
      </c>
      <c r="C80">
        <v>300</v>
      </c>
      <c r="D80">
        <v>9</v>
      </c>
      <c r="E80">
        <v>41</v>
      </c>
      <c r="F80">
        <v>2042</v>
      </c>
      <c r="G80" s="1">
        <f t="shared" si="7"/>
        <v>2.0078354554358472E-2</v>
      </c>
      <c r="H80" s="1" t="str">
        <f t="shared" si="10"/>
        <v>30009</v>
      </c>
    </row>
    <row r="81" spans="1:8" x14ac:dyDescent="0.45">
      <c r="A81">
        <f t="shared" si="8"/>
        <v>300</v>
      </c>
      <c r="B81">
        <f t="shared" si="9"/>
        <v>10</v>
      </c>
      <c r="C81">
        <v>300</v>
      </c>
      <c r="D81">
        <v>10</v>
      </c>
      <c r="E81">
        <v>28</v>
      </c>
      <c r="F81">
        <v>1794</v>
      </c>
      <c r="G81" s="1">
        <f t="shared" si="7"/>
        <v>1.560758082497213E-2</v>
      </c>
      <c r="H81" s="1" t="str">
        <f t="shared" si="10"/>
        <v>30010</v>
      </c>
    </row>
    <row r="82" spans="1:8" x14ac:dyDescent="0.45">
      <c r="A82">
        <f t="shared" si="8"/>
        <v>300</v>
      </c>
      <c r="B82">
        <f t="shared" si="9"/>
        <v>11</v>
      </c>
      <c r="C82">
        <v>300</v>
      </c>
      <c r="D82">
        <v>11</v>
      </c>
      <c r="E82">
        <v>16</v>
      </c>
      <c r="F82">
        <v>1520</v>
      </c>
      <c r="G82" s="1">
        <f t="shared" si="7"/>
        <v>1.0526315789473684E-2</v>
      </c>
      <c r="H82" s="1" t="str">
        <f t="shared" si="10"/>
        <v>30011</v>
      </c>
    </row>
    <row r="83" spans="1:8" x14ac:dyDescent="0.45">
      <c r="A83">
        <f t="shared" si="8"/>
        <v>300</v>
      </c>
      <c r="B83">
        <f t="shared" si="9"/>
        <v>12</v>
      </c>
      <c r="C83">
        <v>300</v>
      </c>
      <c r="D83">
        <v>12</v>
      </c>
      <c r="E83">
        <v>19</v>
      </c>
      <c r="F83">
        <v>1287</v>
      </c>
      <c r="G83" s="1">
        <f t="shared" si="7"/>
        <v>1.4763014763014764E-2</v>
      </c>
      <c r="H83" s="1" t="str">
        <f t="shared" si="10"/>
        <v>30012</v>
      </c>
    </row>
    <row r="84" spans="1:8" x14ac:dyDescent="0.45">
      <c r="A84">
        <f t="shared" si="8"/>
        <v>300</v>
      </c>
      <c r="B84">
        <f t="shared" si="9"/>
        <v>13</v>
      </c>
      <c r="C84">
        <v>300</v>
      </c>
      <c r="D84">
        <v>13</v>
      </c>
      <c r="E84">
        <v>11</v>
      </c>
      <c r="F84">
        <v>1037</v>
      </c>
      <c r="G84" s="1">
        <f t="shared" si="7"/>
        <v>1.0607521697203472E-2</v>
      </c>
      <c r="H84" s="1" t="str">
        <f t="shared" si="10"/>
        <v>30013</v>
      </c>
    </row>
    <row r="85" spans="1:8" x14ac:dyDescent="0.45">
      <c r="A85">
        <f t="shared" si="8"/>
        <v>300</v>
      </c>
      <c r="B85">
        <f t="shared" si="9"/>
        <v>14</v>
      </c>
      <c r="C85">
        <v>300</v>
      </c>
      <c r="D85">
        <v>14</v>
      </c>
      <c r="E85">
        <v>10</v>
      </c>
      <c r="F85">
        <v>896</v>
      </c>
      <c r="G85" s="1">
        <f t="shared" si="7"/>
        <v>1.1160714285714286E-2</v>
      </c>
      <c r="H85" s="1" t="str">
        <f t="shared" si="10"/>
        <v>30014</v>
      </c>
    </row>
    <row r="86" spans="1:8" x14ac:dyDescent="0.45">
      <c r="A86">
        <f t="shared" si="8"/>
        <v>300</v>
      </c>
      <c r="B86">
        <f t="shared" si="9"/>
        <v>15</v>
      </c>
      <c r="C86">
        <v>300</v>
      </c>
      <c r="D86">
        <v>15</v>
      </c>
      <c r="E86">
        <v>5</v>
      </c>
      <c r="F86">
        <v>771</v>
      </c>
      <c r="G86" s="1">
        <f t="shared" si="7"/>
        <v>6.4850843060959796E-3</v>
      </c>
      <c r="H86" s="1" t="str">
        <f t="shared" si="10"/>
        <v>30015</v>
      </c>
    </row>
    <row r="87" spans="1:8" x14ac:dyDescent="0.45">
      <c r="A87">
        <f t="shared" si="8"/>
        <v>300</v>
      </c>
      <c r="B87">
        <f t="shared" si="9"/>
        <v>16</v>
      </c>
      <c r="C87">
        <v>300</v>
      </c>
      <c r="D87">
        <v>16</v>
      </c>
      <c r="E87">
        <v>9</v>
      </c>
      <c r="F87">
        <v>671</v>
      </c>
      <c r="G87" s="1">
        <f t="shared" si="7"/>
        <v>1.3412816691505217E-2</v>
      </c>
      <c r="H87" s="1" t="str">
        <f t="shared" si="10"/>
        <v>30016</v>
      </c>
    </row>
    <row r="88" spans="1:8" x14ac:dyDescent="0.45">
      <c r="A88">
        <f t="shared" si="8"/>
        <v>300</v>
      </c>
      <c r="B88">
        <f t="shared" si="9"/>
        <v>17</v>
      </c>
      <c r="C88">
        <v>300</v>
      </c>
      <c r="D88">
        <v>17</v>
      </c>
      <c r="E88">
        <v>1</v>
      </c>
      <c r="F88">
        <v>576</v>
      </c>
      <c r="G88" s="1">
        <f t="shared" si="7"/>
        <v>1.736111111111111E-3</v>
      </c>
      <c r="H88" s="1" t="str">
        <f t="shared" si="10"/>
        <v>30017</v>
      </c>
    </row>
    <row r="89" spans="1:8" x14ac:dyDescent="0.45">
      <c r="A89">
        <f t="shared" si="8"/>
        <v>300</v>
      </c>
      <c r="B89">
        <f t="shared" si="9"/>
        <v>18</v>
      </c>
      <c r="C89">
        <v>300</v>
      </c>
      <c r="D89">
        <v>18</v>
      </c>
      <c r="E89">
        <v>3</v>
      </c>
      <c r="F89">
        <v>511</v>
      </c>
      <c r="G89" s="1">
        <f t="shared" si="7"/>
        <v>5.8708414872798431E-3</v>
      </c>
      <c r="H89" s="1" t="str">
        <f t="shared" si="10"/>
        <v>30018</v>
      </c>
    </row>
    <row r="90" spans="1:8" x14ac:dyDescent="0.45">
      <c r="A90">
        <f t="shared" si="8"/>
        <v>300</v>
      </c>
      <c r="B90">
        <f t="shared" si="9"/>
        <v>19</v>
      </c>
      <c r="C90">
        <v>300</v>
      </c>
      <c r="D90">
        <v>19</v>
      </c>
      <c r="E90">
        <v>4</v>
      </c>
      <c r="F90">
        <v>409</v>
      </c>
      <c r="G90" s="1">
        <f t="shared" si="7"/>
        <v>9.7799511002444987E-3</v>
      </c>
      <c r="H90" s="1" t="str">
        <f t="shared" si="10"/>
        <v>30019</v>
      </c>
    </row>
    <row r="91" spans="1:8" x14ac:dyDescent="0.45">
      <c r="A91">
        <f t="shared" si="8"/>
        <v>300</v>
      </c>
      <c r="B91" t="str">
        <f t="shared" si="9"/>
        <v>20+</v>
      </c>
      <c r="C91">
        <v>300</v>
      </c>
      <c r="D91">
        <v>99</v>
      </c>
      <c r="E91">
        <v>3</v>
      </c>
      <c r="F91">
        <v>661</v>
      </c>
      <c r="G91" s="1">
        <f t="shared" si="7"/>
        <v>4.5385779122541605E-3</v>
      </c>
      <c r="H91" s="1" t="str">
        <f t="shared" si="10"/>
        <v>30020+</v>
      </c>
    </row>
    <row r="92" spans="1:8" x14ac:dyDescent="0.45">
      <c r="A92">
        <f t="shared" si="8"/>
        <v>350</v>
      </c>
      <c r="B92">
        <f t="shared" si="9"/>
        <v>1</v>
      </c>
      <c r="C92">
        <v>350</v>
      </c>
      <c r="D92">
        <v>1</v>
      </c>
      <c r="E92">
        <v>1746</v>
      </c>
      <c r="F92">
        <v>7749</v>
      </c>
      <c r="G92" s="1">
        <f t="shared" si="7"/>
        <v>0.22531939605110338</v>
      </c>
      <c r="H92" s="1" t="str">
        <f t="shared" si="10"/>
        <v>35001</v>
      </c>
    </row>
    <row r="93" spans="1:8" x14ac:dyDescent="0.45">
      <c r="A93">
        <f t="shared" si="8"/>
        <v>350</v>
      </c>
      <c r="B93">
        <f t="shared" si="9"/>
        <v>2</v>
      </c>
      <c r="C93">
        <v>350</v>
      </c>
      <c r="D93">
        <v>2</v>
      </c>
      <c r="E93">
        <v>617</v>
      </c>
      <c r="F93">
        <v>5839</v>
      </c>
      <c r="G93" s="1">
        <f t="shared" si="7"/>
        <v>0.10566877890049665</v>
      </c>
      <c r="H93" s="1" t="str">
        <f t="shared" si="10"/>
        <v>35002</v>
      </c>
    </row>
    <row r="94" spans="1:8" x14ac:dyDescent="0.45">
      <c r="A94">
        <f t="shared" si="8"/>
        <v>350</v>
      </c>
      <c r="B94">
        <f t="shared" si="9"/>
        <v>3</v>
      </c>
      <c r="C94">
        <v>350</v>
      </c>
      <c r="D94">
        <v>3</v>
      </c>
      <c r="E94">
        <v>338</v>
      </c>
      <c r="F94">
        <v>4945</v>
      </c>
      <c r="G94" s="1">
        <f t="shared" si="7"/>
        <v>6.8351870576339735E-2</v>
      </c>
      <c r="H94" s="1" t="str">
        <f t="shared" si="10"/>
        <v>35003</v>
      </c>
    </row>
    <row r="95" spans="1:8" x14ac:dyDescent="0.45">
      <c r="A95">
        <f t="shared" si="8"/>
        <v>350</v>
      </c>
      <c r="B95">
        <f t="shared" si="9"/>
        <v>4</v>
      </c>
      <c r="C95">
        <v>350</v>
      </c>
      <c r="D95">
        <v>4</v>
      </c>
      <c r="E95">
        <v>253</v>
      </c>
      <c r="F95">
        <v>4514</v>
      </c>
      <c r="G95" s="1">
        <f t="shared" si="7"/>
        <v>5.6047851129818346E-2</v>
      </c>
      <c r="H95" s="1" t="str">
        <f t="shared" si="10"/>
        <v>35004</v>
      </c>
    </row>
    <row r="96" spans="1:8" x14ac:dyDescent="0.45">
      <c r="A96">
        <f t="shared" si="8"/>
        <v>350</v>
      </c>
      <c r="B96">
        <f t="shared" si="9"/>
        <v>5</v>
      </c>
      <c r="C96">
        <v>350</v>
      </c>
      <c r="D96">
        <v>5</v>
      </c>
      <c r="E96">
        <v>159</v>
      </c>
      <c r="F96">
        <v>4234</v>
      </c>
      <c r="G96" s="1">
        <f t="shared" si="7"/>
        <v>3.7553141237600375E-2</v>
      </c>
      <c r="H96" s="1" t="str">
        <f t="shared" si="10"/>
        <v>35005</v>
      </c>
    </row>
    <row r="97" spans="1:8" x14ac:dyDescent="0.45">
      <c r="A97">
        <f t="shared" si="8"/>
        <v>350</v>
      </c>
      <c r="B97">
        <f t="shared" si="9"/>
        <v>6</v>
      </c>
      <c r="C97">
        <v>350</v>
      </c>
      <c r="D97">
        <v>6</v>
      </c>
      <c r="E97">
        <v>114</v>
      </c>
      <c r="F97">
        <v>3975</v>
      </c>
      <c r="G97" s="1">
        <f t="shared" si="7"/>
        <v>2.8679245283018868E-2</v>
      </c>
      <c r="H97" s="1" t="str">
        <f t="shared" si="10"/>
        <v>35006</v>
      </c>
    </row>
    <row r="98" spans="1:8" x14ac:dyDescent="0.45">
      <c r="A98">
        <f t="shared" si="8"/>
        <v>350</v>
      </c>
      <c r="B98">
        <f t="shared" si="9"/>
        <v>7</v>
      </c>
      <c r="C98">
        <v>350</v>
      </c>
      <c r="D98">
        <v>7</v>
      </c>
      <c r="E98">
        <v>84</v>
      </c>
      <c r="F98">
        <v>3773</v>
      </c>
      <c r="G98" s="1">
        <f t="shared" si="7"/>
        <v>2.2263450834879406E-2</v>
      </c>
      <c r="H98" s="1" t="str">
        <f t="shared" si="10"/>
        <v>35007</v>
      </c>
    </row>
    <row r="99" spans="1:8" x14ac:dyDescent="0.45">
      <c r="A99">
        <f t="shared" si="8"/>
        <v>350</v>
      </c>
      <c r="B99">
        <f t="shared" si="9"/>
        <v>8</v>
      </c>
      <c r="C99">
        <v>350</v>
      </c>
      <c r="D99">
        <v>8</v>
      </c>
      <c r="E99">
        <v>54</v>
      </c>
      <c r="F99">
        <v>3435</v>
      </c>
      <c r="G99" s="1">
        <f t="shared" si="7"/>
        <v>1.5720524017467249E-2</v>
      </c>
      <c r="H99" s="1" t="str">
        <f t="shared" si="10"/>
        <v>35008</v>
      </c>
    </row>
    <row r="100" spans="1:8" x14ac:dyDescent="0.45">
      <c r="A100">
        <f t="shared" si="8"/>
        <v>350</v>
      </c>
      <c r="B100">
        <f t="shared" si="9"/>
        <v>9</v>
      </c>
      <c r="C100">
        <v>350</v>
      </c>
      <c r="D100">
        <v>9</v>
      </c>
      <c r="E100">
        <v>44</v>
      </c>
      <c r="F100">
        <v>3078</v>
      </c>
      <c r="G100" s="1">
        <f t="shared" si="7"/>
        <v>1.4294996751137101E-2</v>
      </c>
      <c r="H100" s="1" t="str">
        <f t="shared" si="10"/>
        <v>35009</v>
      </c>
    </row>
    <row r="101" spans="1:8" x14ac:dyDescent="0.45">
      <c r="A101">
        <f t="shared" si="8"/>
        <v>350</v>
      </c>
      <c r="B101">
        <f t="shared" si="9"/>
        <v>10</v>
      </c>
      <c r="C101">
        <v>350</v>
      </c>
      <c r="D101">
        <v>10</v>
      </c>
      <c r="E101">
        <v>25</v>
      </c>
      <c r="F101">
        <v>2733</v>
      </c>
      <c r="G101" s="1">
        <f t="shared" si="7"/>
        <v>9.1474570069520669E-3</v>
      </c>
      <c r="H101" s="1" t="str">
        <f t="shared" si="10"/>
        <v>35010</v>
      </c>
    </row>
    <row r="102" spans="1:8" x14ac:dyDescent="0.45">
      <c r="A102">
        <f t="shared" si="8"/>
        <v>350</v>
      </c>
      <c r="B102">
        <f t="shared" si="9"/>
        <v>11</v>
      </c>
      <c r="C102">
        <v>350</v>
      </c>
      <c r="D102">
        <v>11</v>
      </c>
      <c r="E102">
        <v>27</v>
      </c>
      <c r="F102">
        <v>2452</v>
      </c>
      <c r="G102" s="1">
        <f t="shared" si="7"/>
        <v>1.101141924959217E-2</v>
      </c>
      <c r="H102" s="1" t="str">
        <f t="shared" si="10"/>
        <v>35011</v>
      </c>
    </row>
    <row r="103" spans="1:8" x14ac:dyDescent="0.45">
      <c r="A103">
        <f t="shared" si="8"/>
        <v>350</v>
      </c>
      <c r="B103">
        <f t="shared" si="9"/>
        <v>12</v>
      </c>
      <c r="C103">
        <v>350</v>
      </c>
      <c r="D103">
        <v>12</v>
      </c>
      <c r="E103">
        <v>16</v>
      </c>
      <c r="F103">
        <v>2151</v>
      </c>
      <c r="G103" s="1">
        <f t="shared" si="7"/>
        <v>7.4384007438400741E-3</v>
      </c>
      <c r="H103" s="1" t="str">
        <f t="shared" si="10"/>
        <v>35012</v>
      </c>
    </row>
    <row r="104" spans="1:8" x14ac:dyDescent="0.45">
      <c r="A104">
        <f t="shared" si="8"/>
        <v>350</v>
      </c>
      <c r="B104">
        <f t="shared" si="9"/>
        <v>13</v>
      </c>
      <c r="C104">
        <v>350</v>
      </c>
      <c r="D104">
        <v>13</v>
      </c>
      <c r="E104">
        <v>7</v>
      </c>
      <c r="F104">
        <v>1859</v>
      </c>
      <c r="G104" s="1">
        <f t="shared" si="7"/>
        <v>3.7654653039268424E-3</v>
      </c>
      <c r="H104" s="1" t="str">
        <f t="shared" si="10"/>
        <v>35013</v>
      </c>
    </row>
    <row r="105" spans="1:8" x14ac:dyDescent="0.45">
      <c r="A105">
        <f t="shared" si="8"/>
        <v>350</v>
      </c>
      <c r="B105">
        <f t="shared" si="9"/>
        <v>14</v>
      </c>
      <c r="C105">
        <v>350</v>
      </c>
      <c r="D105">
        <v>14</v>
      </c>
      <c r="E105">
        <v>4</v>
      </c>
      <c r="F105">
        <v>1649</v>
      </c>
      <c r="G105" s="1">
        <f t="shared" si="7"/>
        <v>2.4257125530624622E-3</v>
      </c>
      <c r="H105" s="1" t="str">
        <f t="shared" si="10"/>
        <v>35014</v>
      </c>
    </row>
    <row r="106" spans="1:8" x14ac:dyDescent="0.45">
      <c r="A106">
        <f t="shared" si="8"/>
        <v>350</v>
      </c>
      <c r="B106">
        <f t="shared" si="9"/>
        <v>15</v>
      </c>
      <c r="C106">
        <v>350</v>
      </c>
      <c r="D106">
        <v>15</v>
      </c>
      <c r="E106">
        <v>6</v>
      </c>
      <c r="F106">
        <v>1482</v>
      </c>
      <c r="G106" s="1">
        <f t="shared" si="7"/>
        <v>4.048582995951417E-3</v>
      </c>
      <c r="H106" s="1" t="str">
        <f t="shared" si="10"/>
        <v>35015</v>
      </c>
    </row>
    <row r="107" spans="1:8" x14ac:dyDescent="0.45">
      <c r="A107">
        <f t="shared" si="8"/>
        <v>350</v>
      </c>
      <c r="B107">
        <f t="shared" si="9"/>
        <v>16</v>
      </c>
      <c r="C107">
        <v>350</v>
      </c>
      <c r="D107">
        <v>16</v>
      </c>
      <c r="E107">
        <v>3</v>
      </c>
      <c r="F107">
        <v>1324</v>
      </c>
      <c r="G107" s="1">
        <f t="shared" si="7"/>
        <v>2.2658610271903325E-3</v>
      </c>
      <c r="H107" s="1" t="str">
        <f t="shared" si="10"/>
        <v>35016</v>
      </c>
    </row>
    <row r="108" spans="1:8" x14ac:dyDescent="0.45">
      <c r="A108">
        <f t="shared" si="8"/>
        <v>350</v>
      </c>
      <c r="B108">
        <f t="shared" si="9"/>
        <v>17</v>
      </c>
      <c r="C108">
        <v>350</v>
      </c>
      <c r="D108">
        <v>17</v>
      </c>
      <c r="E108">
        <v>3</v>
      </c>
      <c r="F108">
        <v>1179</v>
      </c>
      <c r="G108" s="1">
        <f t="shared" ref="G108:G139" si="11">E108/F108</f>
        <v>2.5445292620865142E-3</v>
      </c>
      <c r="H108" s="1" t="str">
        <f t="shared" si="10"/>
        <v>35017</v>
      </c>
    </row>
    <row r="109" spans="1:8" x14ac:dyDescent="0.45">
      <c r="A109">
        <f t="shared" si="8"/>
        <v>350</v>
      </c>
      <c r="B109">
        <f t="shared" si="9"/>
        <v>18</v>
      </c>
      <c r="C109">
        <v>350</v>
      </c>
      <c r="D109">
        <v>18</v>
      </c>
      <c r="E109">
        <v>3</v>
      </c>
      <c r="F109">
        <v>1049</v>
      </c>
      <c r="G109" s="1">
        <f t="shared" si="11"/>
        <v>2.859866539561487E-3</v>
      </c>
      <c r="H109" s="1" t="str">
        <f t="shared" si="10"/>
        <v>35018</v>
      </c>
    </row>
    <row r="110" spans="1:8" x14ac:dyDescent="0.45">
      <c r="A110">
        <f t="shared" si="8"/>
        <v>350</v>
      </c>
      <c r="B110">
        <f t="shared" si="9"/>
        <v>19</v>
      </c>
      <c r="C110">
        <v>350</v>
      </c>
      <c r="D110">
        <v>19</v>
      </c>
      <c r="E110">
        <v>4</v>
      </c>
      <c r="F110">
        <v>868</v>
      </c>
      <c r="G110" s="1">
        <f t="shared" si="11"/>
        <v>4.608294930875576E-3</v>
      </c>
      <c r="H110" s="1" t="str">
        <f t="shared" si="10"/>
        <v>35019</v>
      </c>
    </row>
    <row r="111" spans="1:8" x14ac:dyDescent="0.45">
      <c r="A111">
        <f t="shared" si="8"/>
        <v>350</v>
      </c>
      <c r="B111" t="str">
        <f t="shared" si="9"/>
        <v>20+</v>
      </c>
      <c r="C111">
        <v>350</v>
      </c>
      <c r="D111">
        <v>99</v>
      </c>
      <c r="E111">
        <v>8</v>
      </c>
      <c r="F111">
        <v>1938</v>
      </c>
      <c r="G111" s="1">
        <f t="shared" si="11"/>
        <v>4.1279669762641896E-3</v>
      </c>
      <c r="H111" s="1" t="str">
        <f t="shared" si="10"/>
        <v>35020+</v>
      </c>
    </row>
    <row r="112" spans="1:8" x14ac:dyDescent="0.45">
      <c r="A112">
        <f t="shared" si="8"/>
        <v>400</v>
      </c>
      <c r="B112">
        <f t="shared" si="9"/>
        <v>1</v>
      </c>
      <c r="C112">
        <v>400</v>
      </c>
      <c r="D112">
        <v>1</v>
      </c>
      <c r="E112">
        <v>1665</v>
      </c>
      <c r="F112">
        <v>8822</v>
      </c>
      <c r="G112" s="1">
        <f t="shared" si="11"/>
        <v>0.18873271367036953</v>
      </c>
      <c r="H112" s="1" t="str">
        <f t="shared" si="10"/>
        <v>40001</v>
      </c>
    </row>
    <row r="113" spans="1:8" x14ac:dyDescent="0.45">
      <c r="A113">
        <f t="shared" si="8"/>
        <v>400</v>
      </c>
      <c r="B113">
        <f t="shared" si="9"/>
        <v>2</v>
      </c>
      <c r="C113">
        <v>400</v>
      </c>
      <c r="D113">
        <v>2</v>
      </c>
      <c r="E113">
        <v>664</v>
      </c>
      <c r="F113">
        <v>7427</v>
      </c>
      <c r="G113" s="1">
        <f t="shared" si="11"/>
        <v>8.940352766931467E-2</v>
      </c>
      <c r="H113" s="1" t="str">
        <f t="shared" si="10"/>
        <v>40002</v>
      </c>
    </row>
    <row r="114" spans="1:8" x14ac:dyDescent="0.45">
      <c r="A114">
        <f t="shared" si="8"/>
        <v>400</v>
      </c>
      <c r="B114">
        <f t="shared" si="9"/>
        <v>3</v>
      </c>
      <c r="C114">
        <v>400</v>
      </c>
      <c r="D114">
        <v>3</v>
      </c>
      <c r="E114">
        <v>400</v>
      </c>
      <c r="F114">
        <v>6708</v>
      </c>
      <c r="G114" s="1">
        <f t="shared" si="11"/>
        <v>5.9630292188431723E-2</v>
      </c>
      <c r="H114" s="1" t="str">
        <f t="shared" si="10"/>
        <v>40003</v>
      </c>
    </row>
    <row r="115" spans="1:8" x14ac:dyDescent="0.45">
      <c r="A115">
        <f t="shared" si="8"/>
        <v>400</v>
      </c>
      <c r="B115">
        <f t="shared" si="9"/>
        <v>4</v>
      </c>
      <c r="C115">
        <v>400</v>
      </c>
      <c r="D115">
        <v>4</v>
      </c>
      <c r="E115">
        <v>279</v>
      </c>
      <c r="F115">
        <v>6311</v>
      </c>
      <c r="G115" s="1">
        <f t="shared" si="11"/>
        <v>4.4208524797971792E-2</v>
      </c>
      <c r="H115" s="1" t="str">
        <f t="shared" si="10"/>
        <v>40004</v>
      </c>
    </row>
    <row r="116" spans="1:8" x14ac:dyDescent="0.45">
      <c r="A116">
        <f t="shared" si="8"/>
        <v>400</v>
      </c>
      <c r="B116">
        <f t="shared" si="9"/>
        <v>5</v>
      </c>
      <c r="C116">
        <v>400</v>
      </c>
      <c r="D116">
        <v>5</v>
      </c>
      <c r="E116">
        <v>174</v>
      </c>
      <c r="F116">
        <v>6009</v>
      </c>
      <c r="G116" s="1">
        <f t="shared" si="11"/>
        <v>2.8956565152271591E-2</v>
      </c>
      <c r="H116" s="1" t="str">
        <f t="shared" si="10"/>
        <v>40005</v>
      </c>
    </row>
    <row r="117" spans="1:8" x14ac:dyDescent="0.45">
      <c r="A117">
        <f t="shared" si="8"/>
        <v>400</v>
      </c>
      <c r="B117">
        <f t="shared" si="9"/>
        <v>6</v>
      </c>
      <c r="C117">
        <v>400</v>
      </c>
      <c r="D117">
        <v>6</v>
      </c>
      <c r="E117">
        <v>132</v>
      </c>
      <c r="F117">
        <v>5726</v>
      </c>
      <c r="G117" s="1">
        <f t="shared" si="11"/>
        <v>2.3052741879147746E-2</v>
      </c>
      <c r="H117" s="1" t="str">
        <f t="shared" si="10"/>
        <v>40006</v>
      </c>
    </row>
    <row r="118" spans="1:8" x14ac:dyDescent="0.45">
      <c r="A118">
        <f t="shared" si="8"/>
        <v>400</v>
      </c>
      <c r="B118">
        <f t="shared" si="9"/>
        <v>7</v>
      </c>
      <c r="C118">
        <v>400</v>
      </c>
      <c r="D118">
        <v>7</v>
      </c>
      <c r="E118">
        <v>96</v>
      </c>
      <c r="F118">
        <v>5507</v>
      </c>
      <c r="G118" s="1">
        <f t="shared" si="11"/>
        <v>1.7432358816052297E-2</v>
      </c>
      <c r="H118" s="1" t="str">
        <f t="shared" si="10"/>
        <v>40007</v>
      </c>
    </row>
    <row r="119" spans="1:8" x14ac:dyDescent="0.45">
      <c r="A119">
        <f t="shared" si="8"/>
        <v>400</v>
      </c>
      <c r="B119">
        <f t="shared" si="9"/>
        <v>8</v>
      </c>
      <c r="C119">
        <v>400</v>
      </c>
      <c r="D119">
        <v>8</v>
      </c>
      <c r="E119">
        <v>59</v>
      </c>
      <c r="F119">
        <v>5086</v>
      </c>
      <c r="G119" s="1">
        <f t="shared" si="11"/>
        <v>1.1600471883602045E-2</v>
      </c>
      <c r="H119" s="1" t="str">
        <f t="shared" si="10"/>
        <v>40008</v>
      </c>
    </row>
    <row r="120" spans="1:8" x14ac:dyDescent="0.45">
      <c r="A120">
        <f t="shared" si="8"/>
        <v>400</v>
      </c>
      <c r="B120">
        <f t="shared" si="9"/>
        <v>9</v>
      </c>
      <c r="C120">
        <v>400</v>
      </c>
      <c r="D120">
        <v>9</v>
      </c>
      <c r="E120">
        <v>53</v>
      </c>
      <c r="F120">
        <v>4647</v>
      </c>
      <c r="G120" s="1">
        <f t="shared" si="11"/>
        <v>1.1405207660856467E-2</v>
      </c>
      <c r="H120" s="1" t="str">
        <f t="shared" si="10"/>
        <v>40009</v>
      </c>
    </row>
    <row r="121" spans="1:8" x14ac:dyDescent="0.45">
      <c r="A121">
        <f t="shared" si="8"/>
        <v>400</v>
      </c>
      <c r="B121">
        <f t="shared" si="9"/>
        <v>10</v>
      </c>
      <c r="C121">
        <v>400</v>
      </c>
      <c r="D121">
        <v>10</v>
      </c>
      <c r="E121">
        <v>40</v>
      </c>
      <c r="F121">
        <v>4253</v>
      </c>
      <c r="G121" s="1">
        <f t="shared" si="11"/>
        <v>9.4051257935574891E-3</v>
      </c>
      <c r="H121" s="1" t="str">
        <f t="shared" si="10"/>
        <v>40010</v>
      </c>
    </row>
    <row r="122" spans="1:8" x14ac:dyDescent="0.45">
      <c r="A122">
        <f t="shared" si="8"/>
        <v>400</v>
      </c>
      <c r="B122">
        <f t="shared" si="9"/>
        <v>11</v>
      </c>
      <c r="C122">
        <v>400</v>
      </c>
      <c r="D122">
        <v>11</v>
      </c>
      <c r="E122">
        <v>34</v>
      </c>
      <c r="F122">
        <v>3912</v>
      </c>
      <c r="G122" s="1">
        <f t="shared" si="11"/>
        <v>8.6912065439672809E-3</v>
      </c>
      <c r="H122" s="1" t="str">
        <f t="shared" si="10"/>
        <v>40011</v>
      </c>
    </row>
    <row r="123" spans="1:8" x14ac:dyDescent="0.45">
      <c r="A123">
        <f t="shared" si="8"/>
        <v>400</v>
      </c>
      <c r="B123">
        <f t="shared" si="9"/>
        <v>12</v>
      </c>
      <c r="C123">
        <v>400</v>
      </c>
      <c r="D123">
        <v>12</v>
      </c>
      <c r="E123">
        <v>25</v>
      </c>
      <c r="F123">
        <v>3595</v>
      </c>
      <c r="G123" s="1">
        <f t="shared" si="11"/>
        <v>6.954102920723227E-3</v>
      </c>
      <c r="H123" s="1" t="str">
        <f t="shared" si="10"/>
        <v>40012</v>
      </c>
    </row>
    <row r="124" spans="1:8" x14ac:dyDescent="0.45">
      <c r="A124">
        <f t="shared" si="8"/>
        <v>400</v>
      </c>
      <c r="B124">
        <f t="shared" si="9"/>
        <v>13</v>
      </c>
      <c r="C124">
        <v>400</v>
      </c>
      <c r="D124">
        <v>13</v>
      </c>
      <c r="E124">
        <v>16</v>
      </c>
      <c r="F124">
        <v>3301</v>
      </c>
      <c r="G124" s="1">
        <f t="shared" si="11"/>
        <v>4.8470160557406846E-3</v>
      </c>
      <c r="H124" s="1" t="str">
        <f t="shared" si="10"/>
        <v>40013</v>
      </c>
    </row>
    <row r="125" spans="1:8" x14ac:dyDescent="0.45">
      <c r="A125">
        <f t="shared" si="8"/>
        <v>400</v>
      </c>
      <c r="B125">
        <f t="shared" si="9"/>
        <v>14</v>
      </c>
      <c r="C125">
        <v>400</v>
      </c>
      <c r="D125">
        <v>14</v>
      </c>
      <c r="E125">
        <v>14</v>
      </c>
      <c r="F125">
        <v>2985</v>
      </c>
      <c r="G125" s="1">
        <f t="shared" si="11"/>
        <v>4.6901172529313232E-3</v>
      </c>
      <c r="H125" s="1" t="str">
        <f t="shared" si="10"/>
        <v>40014</v>
      </c>
    </row>
    <row r="126" spans="1:8" x14ac:dyDescent="0.45">
      <c r="A126">
        <f t="shared" si="8"/>
        <v>400</v>
      </c>
      <c r="B126">
        <f t="shared" si="9"/>
        <v>15</v>
      </c>
      <c r="C126">
        <v>400</v>
      </c>
      <c r="D126">
        <v>15</v>
      </c>
      <c r="E126">
        <v>10</v>
      </c>
      <c r="F126">
        <v>2720</v>
      </c>
      <c r="G126" s="1">
        <f t="shared" si="11"/>
        <v>3.6764705882352941E-3</v>
      </c>
      <c r="H126" s="1" t="str">
        <f t="shared" si="10"/>
        <v>40015</v>
      </c>
    </row>
    <row r="127" spans="1:8" x14ac:dyDescent="0.45">
      <c r="A127">
        <f t="shared" si="8"/>
        <v>400</v>
      </c>
      <c r="B127">
        <f t="shared" si="9"/>
        <v>16</v>
      </c>
      <c r="C127">
        <v>400</v>
      </c>
      <c r="D127">
        <v>16</v>
      </c>
      <c r="E127">
        <v>15</v>
      </c>
      <c r="F127">
        <v>2505</v>
      </c>
      <c r="G127" s="1">
        <f t="shared" si="11"/>
        <v>5.9880239520958087E-3</v>
      </c>
      <c r="H127" s="1" t="str">
        <f t="shared" si="10"/>
        <v>40016</v>
      </c>
    </row>
    <row r="128" spans="1:8" x14ac:dyDescent="0.45">
      <c r="A128">
        <f t="shared" si="8"/>
        <v>400</v>
      </c>
      <c r="B128">
        <f t="shared" si="9"/>
        <v>17</v>
      </c>
      <c r="C128">
        <v>400</v>
      </c>
      <c r="D128">
        <v>17</v>
      </c>
      <c r="E128">
        <v>11</v>
      </c>
      <c r="F128">
        <v>2311</v>
      </c>
      <c r="G128" s="1">
        <f t="shared" si="11"/>
        <v>4.7598442232799658E-3</v>
      </c>
      <c r="H128" s="1" t="str">
        <f t="shared" si="10"/>
        <v>40017</v>
      </c>
    </row>
    <row r="129" spans="1:8" x14ac:dyDescent="0.45">
      <c r="A129">
        <f t="shared" si="8"/>
        <v>400</v>
      </c>
      <c r="B129">
        <f t="shared" si="9"/>
        <v>18</v>
      </c>
      <c r="C129">
        <v>400</v>
      </c>
      <c r="D129">
        <v>18</v>
      </c>
      <c r="E129">
        <v>8</v>
      </c>
      <c r="F129">
        <v>2099</v>
      </c>
      <c r="G129" s="1">
        <f t="shared" si="11"/>
        <v>3.8113387327298712E-3</v>
      </c>
      <c r="H129" s="1" t="str">
        <f t="shared" si="10"/>
        <v>40018</v>
      </c>
    </row>
    <row r="130" spans="1:8" x14ac:dyDescent="0.45">
      <c r="A130">
        <f t="shared" si="8"/>
        <v>400</v>
      </c>
      <c r="B130">
        <f t="shared" si="9"/>
        <v>19</v>
      </c>
      <c r="C130">
        <v>400</v>
      </c>
      <c r="D130">
        <v>19</v>
      </c>
      <c r="E130">
        <v>4</v>
      </c>
      <c r="F130">
        <v>1885</v>
      </c>
      <c r="G130" s="1">
        <f t="shared" si="11"/>
        <v>2.1220159151193632E-3</v>
      </c>
      <c r="H130" s="1" t="str">
        <f t="shared" si="10"/>
        <v>40019</v>
      </c>
    </row>
    <row r="131" spans="1:8" x14ac:dyDescent="0.45">
      <c r="A131">
        <f t="shared" si="8"/>
        <v>400</v>
      </c>
      <c r="B131" t="str">
        <f t="shared" si="9"/>
        <v>20+</v>
      </c>
      <c r="C131">
        <v>400</v>
      </c>
      <c r="D131">
        <v>99</v>
      </c>
      <c r="E131">
        <v>35</v>
      </c>
      <c r="F131">
        <v>5452</v>
      </c>
      <c r="G131" s="1">
        <f t="shared" si="11"/>
        <v>6.4196625091709463E-3</v>
      </c>
      <c r="H131" s="1" t="str">
        <f t="shared" si="10"/>
        <v>40020+</v>
      </c>
    </row>
    <row r="132" spans="1:8" x14ac:dyDescent="0.45">
      <c r="A132">
        <f t="shared" si="8"/>
        <v>450</v>
      </c>
      <c r="B132">
        <f t="shared" si="9"/>
        <v>1</v>
      </c>
      <c r="C132">
        <v>450</v>
      </c>
      <c r="D132">
        <v>1</v>
      </c>
      <c r="E132">
        <v>1585</v>
      </c>
      <c r="F132">
        <v>10165</v>
      </c>
      <c r="G132" s="1">
        <f t="shared" si="11"/>
        <v>0.15592720118052139</v>
      </c>
      <c r="H132" s="1" t="str">
        <f t="shared" si="10"/>
        <v>45001</v>
      </c>
    </row>
    <row r="133" spans="1:8" x14ac:dyDescent="0.45">
      <c r="A133">
        <f t="shared" si="8"/>
        <v>450</v>
      </c>
      <c r="B133">
        <f t="shared" si="9"/>
        <v>2</v>
      </c>
      <c r="C133">
        <v>450</v>
      </c>
      <c r="D133">
        <v>2</v>
      </c>
      <c r="E133">
        <v>691</v>
      </c>
      <c r="F133">
        <v>9235</v>
      </c>
      <c r="G133" s="1">
        <f t="shared" si="11"/>
        <v>7.482403898213319E-2</v>
      </c>
      <c r="H133" s="1" t="str">
        <f t="shared" si="10"/>
        <v>45002</v>
      </c>
    </row>
    <row r="134" spans="1:8" x14ac:dyDescent="0.45">
      <c r="A134">
        <f t="shared" si="8"/>
        <v>450</v>
      </c>
      <c r="B134">
        <f t="shared" si="9"/>
        <v>3</v>
      </c>
      <c r="C134">
        <v>450</v>
      </c>
      <c r="D134">
        <v>3</v>
      </c>
      <c r="E134">
        <v>441</v>
      </c>
      <c r="F134">
        <v>8786</v>
      </c>
      <c r="G134" s="1">
        <f t="shared" si="11"/>
        <v>5.0193489642613248E-2</v>
      </c>
      <c r="H134" s="1" t="str">
        <f t="shared" si="10"/>
        <v>45003</v>
      </c>
    </row>
    <row r="135" spans="1:8" x14ac:dyDescent="0.45">
      <c r="A135">
        <f t="shared" si="8"/>
        <v>450</v>
      </c>
      <c r="B135">
        <f t="shared" si="9"/>
        <v>4</v>
      </c>
      <c r="C135">
        <v>450</v>
      </c>
      <c r="D135">
        <v>4</v>
      </c>
      <c r="E135">
        <v>321</v>
      </c>
      <c r="F135">
        <v>8465</v>
      </c>
      <c r="G135" s="1">
        <f t="shared" si="11"/>
        <v>3.7920850561134083E-2</v>
      </c>
      <c r="H135" s="1" t="str">
        <f t="shared" si="10"/>
        <v>45004</v>
      </c>
    </row>
    <row r="136" spans="1:8" x14ac:dyDescent="0.45">
      <c r="A136">
        <f t="shared" si="8"/>
        <v>450</v>
      </c>
      <c r="B136">
        <f t="shared" si="9"/>
        <v>5</v>
      </c>
      <c r="C136">
        <v>450</v>
      </c>
      <c r="D136">
        <v>5</v>
      </c>
      <c r="E136">
        <v>212</v>
      </c>
      <c r="F136">
        <v>8227</v>
      </c>
      <c r="G136" s="1">
        <f t="shared" si="11"/>
        <v>2.576881001580163E-2</v>
      </c>
      <c r="H136" s="1" t="str">
        <f t="shared" si="10"/>
        <v>45005</v>
      </c>
    </row>
    <row r="137" spans="1:8" x14ac:dyDescent="0.45">
      <c r="A137">
        <f t="shared" si="8"/>
        <v>450</v>
      </c>
      <c r="B137">
        <f t="shared" si="9"/>
        <v>6</v>
      </c>
      <c r="C137">
        <v>450</v>
      </c>
      <c r="D137">
        <v>6</v>
      </c>
      <c r="E137">
        <v>196</v>
      </c>
      <c r="F137">
        <v>7998</v>
      </c>
      <c r="G137" s="1">
        <f t="shared" si="11"/>
        <v>2.4506126531632907E-2</v>
      </c>
      <c r="H137" s="1" t="str">
        <f t="shared" si="10"/>
        <v>45006</v>
      </c>
    </row>
    <row r="138" spans="1:8" x14ac:dyDescent="0.45">
      <c r="A138">
        <f t="shared" si="8"/>
        <v>450</v>
      </c>
      <c r="B138">
        <f t="shared" si="9"/>
        <v>7</v>
      </c>
      <c r="C138">
        <v>450</v>
      </c>
      <c r="D138">
        <v>7</v>
      </c>
      <c r="E138">
        <v>117</v>
      </c>
      <c r="F138">
        <v>7755</v>
      </c>
      <c r="G138" s="1">
        <f t="shared" si="11"/>
        <v>1.5087040618955513E-2</v>
      </c>
      <c r="H138" s="1" t="str">
        <f t="shared" si="10"/>
        <v>45007</v>
      </c>
    </row>
    <row r="139" spans="1:8" x14ac:dyDescent="0.45">
      <c r="A139">
        <f t="shared" si="8"/>
        <v>450</v>
      </c>
      <c r="B139">
        <f t="shared" si="9"/>
        <v>8</v>
      </c>
      <c r="C139">
        <v>450</v>
      </c>
      <c r="D139">
        <v>8</v>
      </c>
      <c r="E139">
        <v>69</v>
      </c>
      <c r="F139">
        <v>7379</v>
      </c>
      <c r="G139" s="1">
        <f t="shared" si="11"/>
        <v>9.3508605502100554E-3</v>
      </c>
      <c r="H139" s="1" t="str">
        <f t="shared" si="10"/>
        <v>45008</v>
      </c>
    </row>
    <row r="140" spans="1:8" x14ac:dyDescent="0.45">
      <c r="A140">
        <f t="shared" si="8"/>
        <v>450</v>
      </c>
      <c r="B140">
        <f t="shared" si="9"/>
        <v>9</v>
      </c>
      <c r="C140">
        <v>450</v>
      </c>
      <c r="D140">
        <v>9</v>
      </c>
      <c r="E140">
        <v>49</v>
      </c>
      <c r="F140">
        <v>6910</v>
      </c>
      <c r="G140" s="1">
        <f t="shared" ref="G140:G171" si="12">E140/F140</f>
        <v>7.0911722141823444E-3</v>
      </c>
      <c r="H140" s="1" t="str">
        <f t="shared" si="10"/>
        <v>45009</v>
      </c>
    </row>
    <row r="141" spans="1:8" x14ac:dyDescent="0.45">
      <c r="A141">
        <f t="shared" ref="A141:A191" si="13">IF(C141=150, "&lt;=150", C141)</f>
        <v>450</v>
      </c>
      <c r="B141">
        <f t="shared" ref="B141:B191" si="14">IF(D141=99, "20+", D141)</f>
        <v>10</v>
      </c>
      <c r="C141">
        <v>450</v>
      </c>
      <c r="D141">
        <v>10</v>
      </c>
      <c r="E141">
        <v>56</v>
      </c>
      <c r="F141">
        <v>6474</v>
      </c>
      <c r="G141" s="1">
        <f t="shared" si="12"/>
        <v>8.6499845535990116E-3</v>
      </c>
      <c r="H141" s="1" t="str">
        <f t="shared" ref="H141:H191" si="15">CONCATENATE(A141,IF(LEN(B141)=1,CONCATENATE(0,B141),B141))</f>
        <v>45010</v>
      </c>
    </row>
    <row r="142" spans="1:8" x14ac:dyDescent="0.45">
      <c r="A142">
        <f t="shared" si="13"/>
        <v>450</v>
      </c>
      <c r="B142">
        <f t="shared" si="14"/>
        <v>11</v>
      </c>
      <c r="C142">
        <v>450</v>
      </c>
      <c r="D142">
        <v>11</v>
      </c>
      <c r="E142">
        <v>33</v>
      </c>
      <c r="F142">
        <v>6138</v>
      </c>
      <c r="G142" s="1">
        <f t="shared" si="12"/>
        <v>5.3763440860215058E-3</v>
      </c>
      <c r="H142" s="1" t="str">
        <f t="shared" si="15"/>
        <v>45011</v>
      </c>
    </row>
    <row r="143" spans="1:8" x14ac:dyDescent="0.45">
      <c r="A143">
        <f t="shared" si="13"/>
        <v>450</v>
      </c>
      <c r="B143">
        <f t="shared" si="14"/>
        <v>12</v>
      </c>
      <c r="C143">
        <v>450</v>
      </c>
      <c r="D143">
        <v>12</v>
      </c>
      <c r="E143">
        <v>30</v>
      </c>
      <c r="F143">
        <v>5792</v>
      </c>
      <c r="G143" s="1">
        <f t="shared" si="12"/>
        <v>5.1795580110497235E-3</v>
      </c>
      <c r="H143" s="1" t="str">
        <f t="shared" si="15"/>
        <v>45012</v>
      </c>
    </row>
    <row r="144" spans="1:8" x14ac:dyDescent="0.45">
      <c r="A144">
        <f t="shared" si="13"/>
        <v>450</v>
      </c>
      <c r="B144">
        <f t="shared" si="14"/>
        <v>13</v>
      </c>
      <c r="C144">
        <v>450</v>
      </c>
      <c r="D144">
        <v>13</v>
      </c>
      <c r="E144">
        <v>21</v>
      </c>
      <c r="F144">
        <v>5459</v>
      </c>
      <c r="G144" s="1">
        <f t="shared" si="12"/>
        <v>3.8468583989741713E-3</v>
      </c>
      <c r="H144" s="1" t="str">
        <f t="shared" si="15"/>
        <v>45013</v>
      </c>
    </row>
    <row r="145" spans="1:8" x14ac:dyDescent="0.45">
      <c r="A145">
        <f t="shared" si="13"/>
        <v>450</v>
      </c>
      <c r="B145">
        <f t="shared" si="14"/>
        <v>14</v>
      </c>
      <c r="C145">
        <v>450</v>
      </c>
      <c r="D145">
        <v>14</v>
      </c>
      <c r="E145">
        <v>20</v>
      </c>
      <c r="F145">
        <v>5193</v>
      </c>
      <c r="G145" s="1">
        <f t="shared" si="12"/>
        <v>3.8513383400731755E-3</v>
      </c>
      <c r="H145" s="1" t="str">
        <f t="shared" si="15"/>
        <v>45014</v>
      </c>
    </row>
    <row r="146" spans="1:8" x14ac:dyDescent="0.45">
      <c r="A146">
        <f t="shared" si="13"/>
        <v>450</v>
      </c>
      <c r="B146">
        <f t="shared" si="14"/>
        <v>15</v>
      </c>
      <c r="C146">
        <v>450</v>
      </c>
      <c r="D146">
        <v>15</v>
      </c>
      <c r="E146">
        <v>15</v>
      </c>
      <c r="F146">
        <v>4902</v>
      </c>
      <c r="G146" s="1">
        <f t="shared" si="12"/>
        <v>3.0599755201958386E-3</v>
      </c>
      <c r="H146" s="1" t="str">
        <f t="shared" si="15"/>
        <v>45015</v>
      </c>
    </row>
    <row r="147" spans="1:8" x14ac:dyDescent="0.45">
      <c r="A147">
        <f t="shared" si="13"/>
        <v>450</v>
      </c>
      <c r="B147">
        <f t="shared" si="14"/>
        <v>16</v>
      </c>
      <c r="C147">
        <v>450</v>
      </c>
      <c r="D147">
        <v>16</v>
      </c>
      <c r="E147">
        <v>16</v>
      </c>
      <c r="F147">
        <v>4667</v>
      </c>
      <c r="G147" s="1">
        <f t="shared" si="12"/>
        <v>3.4283265481037067E-3</v>
      </c>
      <c r="H147" s="1" t="str">
        <f t="shared" si="15"/>
        <v>45016</v>
      </c>
    </row>
    <row r="148" spans="1:8" x14ac:dyDescent="0.45">
      <c r="A148">
        <f t="shared" si="13"/>
        <v>450</v>
      </c>
      <c r="B148">
        <f t="shared" si="14"/>
        <v>17</v>
      </c>
      <c r="C148">
        <v>450</v>
      </c>
      <c r="D148">
        <v>17</v>
      </c>
      <c r="E148">
        <v>16</v>
      </c>
      <c r="F148">
        <v>4433</v>
      </c>
      <c r="G148" s="1">
        <f t="shared" si="12"/>
        <v>3.609293931874577E-3</v>
      </c>
      <c r="H148" s="1" t="str">
        <f t="shared" si="15"/>
        <v>45017</v>
      </c>
    </row>
    <row r="149" spans="1:8" x14ac:dyDescent="0.45">
      <c r="A149">
        <f t="shared" si="13"/>
        <v>450</v>
      </c>
      <c r="B149">
        <f t="shared" si="14"/>
        <v>18</v>
      </c>
      <c r="C149">
        <v>450</v>
      </c>
      <c r="D149">
        <v>18</v>
      </c>
      <c r="E149">
        <v>11</v>
      </c>
      <c r="F149">
        <v>4152</v>
      </c>
      <c r="G149" s="1">
        <f t="shared" si="12"/>
        <v>2.6493256262042388E-3</v>
      </c>
      <c r="H149" s="1" t="str">
        <f t="shared" si="15"/>
        <v>45018</v>
      </c>
    </row>
    <row r="150" spans="1:8" x14ac:dyDescent="0.45">
      <c r="A150">
        <f t="shared" si="13"/>
        <v>450</v>
      </c>
      <c r="B150">
        <f t="shared" si="14"/>
        <v>19</v>
      </c>
      <c r="C150">
        <v>450</v>
      </c>
      <c r="D150">
        <v>19</v>
      </c>
      <c r="E150">
        <v>11</v>
      </c>
      <c r="F150">
        <v>3847</v>
      </c>
      <c r="G150" s="1">
        <f t="shared" si="12"/>
        <v>2.8593709383935534E-3</v>
      </c>
      <c r="H150" s="1" t="str">
        <f t="shared" si="15"/>
        <v>45019</v>
      </c>
    </row>
    <row r="151" spans="1:8" x14ac:dyDescent="0.45">
      <c r="A151">
        <f t="shared" si="13"/>
        <v>450</v>
      </c>
      <c r="B151" t="str">
        <f t="shared" si="14"/>
        <v>20+</v>
      </c>
      <c r="C151">
        <v>450</v>
      </c>
      <c r="D151">
        <v>99</v>
      </c>
      <c r="E151">
        <v>76</v>
      </c>
      <c r="F151">
        <v>13566</v>
      </c>
      <c r="G151" s="1">
        <f t="shared" si="12"/>
        <v>5.6022408963585435E-3</v>
      </c>
      <c r="H151" s="1" t="str">
        <f t="shared" si="15"/>
        <v>45020+</v>
      </c>
    </row>
    <row r="152" spans="1:8" x14ac:dyDescent="0.45">
      <c r="A152">
        <f t="shared" si="13"/>
        <v>500</v>
      </c>
      <c r="B152">
        <f t="shared" si="14"/>
        <v>1</v>
      </c>
      <c r="C152">
        <v>500</v>
      </c>
      <c r="D152">
        <v>1</v>
      </c>
      <c r="E152">
        <v>1616</v>
      </c>
      <c r="F152">
        <v>11465</v>
      </c>
      <c r="G152" s="1">
        <f t="shared" si="12"/>
        <v>0.14095071958133448</v>
      </c>
      <c r="H152" s="1" t="str">
        <f t="shared" si="15"/>
        <v>50001</v>
      </c>
    </row>
    <row r="153" spans="1:8" x14ac:dyDescent="0.45">
      <c r="A153">
        <f t="shared" si="13"/>
        <v>500</v>
      </c>
      <c r="B153">
        <f t="shared" si="14"/>
        <v>2</v>
      </c>
      <c r="C153">
        <v>500</v>
      </c>
      <c r="D153">
        <v>2</v>
      </c>
      <c r="E153">
        <v>772</v>
      </c>
      <c r="F153">
        <v>10933</v>
      </c>
      <c r="G153" s="1">
        <f t="shared" si="12"/>
        <v>7.0611908899661568E-2</v>
      </c>
      <c r="H153" s="1" t="str">
        <f t="shared" si="15"/>
        <v>50002</v>
      </c>
    </row>
    <row r="154" spans="1:8" x14ac:dyDescent="0.45">
      <c r="A154">
        <f t="shared" si="13"/>
        <v>500</v>
      </c>
      <c r="B154">
        <f t="shared" si="14"/>
        <v>3</v>
      </c>
      <c r="C154">
        <v>500</v>
      </c>
      <c r="D154">
        <v>3</v>
      </c>
      <c r="E154">
        <v>501</v>
      </c>
      <c r="F154">
        <v>10674</v>
      </c>
      <c r="G154" s="1">
        <f t="shared" si="12"/>
        <v>4.693648116919618E-2</v>
      </c>
      <c r="H154" s="1" t="str">
        <f t="shared" si="15"/>
        <v>50003</v>
      </c>
    </row>
    <row r="155" spans="1:8" x14ac:dyDescent="0.45">
      <c r="A155">
        <f t="shared" si="13"/>
        <v>500</v>
      </c>
      <c r="B155">
        <f t="shared" si="14"/>
        <v>4</v>
      </c>
      <c r="C155">
        <v>500</v>
      </c>
      <c r="D155">
        <v>4</v>
      </c>
      <c r="E155">
        <v>350</v>
      </c>
      <c r="F155">
        <v>10520</v>
      </c>
      <c r="G155" s="1">
        <f t="shared" si="12"/>
        <v>3.3269961977186312E-2</v>
      </c>
      <c r="H155" s="1" t="str">
        <f t="shared" si="15"/>
        <v>50004</v>
      </c>
    </row>
    <row r="156" spans="1:8" x14ac:dyDescent="0.45">
      <c r="A156">
        <f t="shared" si="13"/>
        <v>500</v>
      </c>
      <c r="B156">
        <f t="shared" si="14"/>
        <v>5</v>
      </c>
      <c r="C156">
        <v>500</v>
      </c>
      <c r="D156">
        <v>5</v>
      </c>
      <c r="E156">
        <v>241</v>
      </c>
      <c r="F156">
        <v>10300</v>
      </c>
      <c r="G156" s="1">
        <f t="shared" si="12"/>
        <v>2.3398058252427186E-2</v>
      </c>
      <c r="H156" s="1" t="str">
        <f t="shared" si="15"/>
        <v>50005</v>
      </c>
    </row>
    <row r="157" spans="1:8" x14ac:dyDescent="0.45">
      <c r="A157">
        <f t="shared" si="13"/>
        <v>500</v>
      </c>
      <c r="B157">
        <f t="shared" si="14"/>
        <v>6</v>
      </c>
      <c r="C157">
        <v>500</v>
      </c>
      <c r="D157">
        <v>6</v>
      </c>
      <c r="E157">
        <v>223</v>
      </c>
      <c r="F157">
        <v>10050</v>
      </c>
      <c r="G157" s="1">
        <f t="shared" si="12"/>
        <v>2.218905472636816E-2</v>
      </c>
      <c r="H157" s="1" t="str">
        <f t="shared" si="15"/>
        <v>50006</v>
      </c>
    </row>
    <row r="158" spans="1:8" x14ac:dyDescent="0.45">
      <c r="A158">
        <f t="shared" si="13"/>
        <v>500</v>
      </c>
      <c r="B158">
        <f t="shared" si="14"/>
        <v>7</v>
      </c>
      <c r="C158">
        <v>500</v>
      </c>
      <c r="D158">
        <v>7</v>
      </c>
      <c r="E158">
        <v>162</v>
      </c>
      <c r="F158">
        <v>9962</v>
      </c>
      <c r="G158" s="1">
        <f t="shared" si="12"/>
        <v>1.6261794820317206E-2</v>
      </c>
      <c r="H158" s="1" t="str">
        <f t="shared" si="15"/>
        <v>50007</v>
      </c>
    </row>
    <row r="159" spans="1:8" x14ac:dyDescent="0.45">
      <c r="A159">
        <f t="shared" si="13"/>
        <v>500</v>
      </c>
      <c r="B159">
        <f t="shared" si="14"/>
        <v>8</v>
      </c>
      <c r="C159">
        <v>500</v>
      </c>
      <c r="D159">
        <v>8</v>
      </c>
      <c r="E159">
        <v>87</v>
      </c>
      <c r="F159">
        <v>9545</v>
      </c>
      <c r="G159" s="1">
        <f t="shared" si="12"/>
        <v>9.114719748559456E-3</v>
      </c>
      <c r="H159" s="1" t="str">
        <f t="shared" si="15"/>
        <v>50008</v>
      </c>
    </row>
    <row r="160" spans="1:8" x14ac:dyDescent="0.45">
      <c r="A160">
        <f t="shared" si="13"/>
        <v>500</v>
      </c>
      <c r="B160">
        <f t="shared" si="14"/>
        <v>9</v>
      </c>
      <c r="C160">
        <v>500</v>
      </c>
      <c r="D160">
        <v>9</v>
      </c>
      <c r="E160">
        <v>63</v>
      </c>
      <c r="F160">
        <v>9173</v>
      </c>
      <c r="G160" s="1">
        <f t="shared" si="12"/>
        <v>6.8679821214433666E-3</v>
      </c>
      <c r="H160" s="1" t="str">
        <f t="shared" si="15"/>
        <v>50009</v>
      </c>
    </row>
    <row r="161" spans="1:8" x14ac:dyDescent="0.45">
      <c r="A161">
        <f t="shared" si="13"/>
        <v>500</v>
      </c>
      <c r="B161">
        <f t="shared" si="14"/>
        <v>10</v>
      </c>
      <c r="C161">
        <v>500</v>
      </c>
      <c r="D161">
        <v>10</v>
      </c>
      <c r="E161">
        <v>72</v>
      </c>
      <c r="F161">
        <v>8803</v>
      </c>
      <c r="G161" s="1">
        <f t="shared" si="12"/>
        <v>8.179029876178575E-3</v>
      </c>
      <c r="H161" s="1" t="str">
        <f t="shared" si="15"/>
        <v>50010</v>
      </c>
    </row>
    <row r="162" spans="1:8" x14ac:dyDescent="0.45">
      <c r="A162">
        <f t="shared" si="13"/>
        <v>500</v>
      </c>
      <c r="B162">
        <f t="shared" si="14"/>
        <v>11</v>
      </c>
      <c r="C162">
        <v>500</v>
      </c>
      <c r="D162">
        <v>11</v>
      </c>
      <c r="E162">
        <v>67</v>
      </c>
      <c r="F162">
        <v>8495</v>
      </c>
      <c r="G162" s="1">
        <f t="shared" si="12"/>
        <v>7.8869923484402582E-3</v>
      </c>
      <c r="H162" s="1" t="str">
        <f t="shared" si="15"/>
        <v>50011</v>
      </c>
    </row>
    <row r="163" spans="1:8" x14ac:dyDescent="0.45">
      <c r="A163">
        <f t="shared" si="13"/>
        <v>500</v>
      </c>
      <c r="B163">
        <f t="shared" si="14"/>
        <v>12</v>
      </c>
      <c r="C163">
        <v>500</v>
      </c>
      <c r="D163">
        <v>12</v>
      </c>
      <c r="E163">
        <v>31</v>
      </c>
      <c r="F163">
        <v>8229</v>
      </c>
      <c r="G163" s="1">
        <f t="shared" si="12"/>
        <v>3.7671649046056629E-3</v>
      </c>
      <c r="H163" s="1" t="str">
        <f t="shared" si="15"/>
        <v>50012</v>
      </c>
    </row>
    <row r="164" spans="1:8" x14ac:dyDescent="0.45">
      <c r="A164">
        <f t="shared" si="13"/>
        <v>500</v>
      </c>
      <c r="B164">
        <f t="shared" si="14"/>
        <v>13</v>
      </c>
      <c r="C164">
        <v>500</v>
      </c>
      <c r="D164">
        <v>13</v>
      </c>
      <c r="E164">
        <v>32</v>
      </c>
      <c r="F164">
        <v>7959</v>
      </c>
      <c r="G164" s="1">
        <f t="shared" si="12"/>
        <v>4.02060560371906E-3</v>
      </c>
      <c r="H164" s="1" t="str">
        <f t="shared" si="15"/>
        <v>50013</v>
      </c>
    </row>
    <row r="165" spans="1:8" x14ac:dyDescent="0.45">
      <c r="A165">
        <f t="shared" si="13"/>
        <v>500</v>
      </c>
      <c r="B165">
        <f t="shared" si="14"/>
        <v>14</v>
      </c>
      <c r="C165">
        <v>500</v>
      </c>
      <c r="D165">
        <v>14</v>
      </c>
      <c r="E165">
        <v>37</v>
      </c>
      <c r="F165">
        <v>7694</v>
      </c>
      <c r="G165" s="1">
        <f t="shared" si="12"/>
        <v>4.8089420327527945E-3</v>
      </c>
      <c r="H165" s="1" t="str">
        <f t="shared" si="15"/>
        <v>50014</v>
      </c>
    </row>
    <row r="166" spans="1:8" x14ac:dyDescent="0.45">
      <c r="A166">
        <f t="shared" si="13"/>
        <v>500</v>
      </c>
      <c r="B166">
        <f t="shared" si="14"/>
        <v>15</v>
      </c>
      <c r="C166">
        <v>500</v>
      </c>
      <c r="D166">
        <v>15</v>
      </c>
      <c r="E166">
        <v>35</v>
      </c>
      <c r="F166">
        <v>7428</v>
      </c>
      <c r="G166" s="1">
        <f t="shared" si="12"/>
        <v>4.7119009154550353E-3</v>
      </c>
      <c r="H166" s="1" t="str">
        <f t="shared" si="15"/>
        <v>50015</v>
      </c>
    </row>
    <row r="167" spans="1:8" x14ac:dyDescent="0.45">
      <c r="A167">
        <f t="shared" si="13"/>
        <v>500</v>
      </c>
      <c r="B167">
        <f t="shared" si="14"/>
        <v>16</v>
      </c>
      <c r="C167">
        <v>500</v>
      </c>
      <c r="D167">
        <v>16</v>
      </c>
      <c r="E167">
        <v>21</v>
      </c>
      <c r="F167">
        <v>7180</v>
      </c>
      <c r="G167" s="1">
        <f t="shared" si="12"/>
        <v>2.9247910863509749E-3</v>
      </c>
      <c r="H167" s="1" t="str">
        <f t="shared" si="15"/>
        <v>50016</v>
      </c>
    </row>
    <row r="168" spans="1:8" x14ac:dyDescent="0.45">
      <c r="A168">
        <f t="shared" si="13"/>
        <v>500</v>
      </c>
      <c r="B168">
        <f t="shared" si="14"/>
        <v>17</v>
      </c>
      <c r="C168">
        <v>500</v>
      </c>
      <c r="D168">
        <v>17</v>
      </c>
      <c r="E168">
        <v>25</v>
      </c>
      <c r="F168">
        <v>6896</v>
      </c>
      <c r="G168" s="1">
        <f t="shared" si="12"/>
        <v>3.625290023201856E-3</v>
      </c>
      <c r="H168" s="1" t="str">
        <f t="shared" si="15"/>
        <v>50017</v>
      </c>
    </row>
    <row r="169" spans="1:8" x14ac:dyDescent="0.45">
      <c r="A169">
        <f t="shared" si="13"/>
        <v>500</v>
      </c>
      <c r="B169">
        <f t="shared" si="14"/>
        <v>18</v>
      </c>
      <c r="C169">
        <v>500</v>
      </c>
      <c r="D169">
        <v>18</v>
      </c>
      <c r="E169">
        <v>29</v>
      </c>
      <c r="F169">
        <v>6627</v>
      </c>
      <c r="G169" s="1">
        <f t="shared" si="12"/>
        <v>4.3760374226648555E-3</v>
      </c>
      <c r="H169" s="1" t="str">
        <f t="shared" si="15"/>
        <v>50018</v>
      </c>
    </row>
    <row r="170" spans="1:8" x14ac:dyDescent="0.45">
      <c r="A170">
        <f t="shared" si="13"/>
        <v>500</v>
      </c>
      <c r="B170">
        <f t="shared" si="14"/>
        <v>19</v>
      </c>
      <c r="C170">
        <v>500</v>
      </c>
      <c r="D170">
        <v>19</v>
      </c>
      <c r="E170">
        <v>22</v>
      </c>
      <c r="F170">
        <v>6313</v>
      </c>
      <c r="G170" s="1">
        <f t="shared" si="12"/>
        <v>3.4848724853476952E-3</v>
      </c>
      <c r="H170" s="1" t="str">
        <f t="shared" si="15"/>
        <v>50019</v>
      </c>
    </row>
    <row r="171" spans="1:8" x14ac:dyDescent="0.45">
      <c r="A171">
        <f t="shared" si="13"/>
        <v>500</v>
      </c>
      <c r="B171" t="str">
        <f t="shared" si="14"/>
        <v>20+</v>
      </c>
      <c r="C171">
        <v>500</v>
      </c>
      <c r="D171">
        <v>99</v>
      </c>
      <c r="E171">
        <v>147</v>
      </c>
      <c r="F171">
        <v>28755</v>
      </c>
      <c r="G171" s="1">
        <f t="shared" si="12"/>
        <v>5.1121544079290558E-3</v>
      </c>
      <c r="H171" s="1" t="str">
        <f t="shared" si="15"/>
        <v>50020+</v>
      </c>
    </row>
    <row r="172" spans="1:8" x14ac:dyDescent="0.45">
      <c r="A172" t="str">
        <f t="shared" si="13"/>
        <v>501+</v>
      </c>
      <c r="B172">
        <f t="shared" si="14"/>
        <v>1</v>
      </c>
      <c r="C172" t="s">
        <v>1</v>
      </c>
      <c r="D172">
        <v>1</v>
      </c>
      <c r="E172">
        <v>1013</v>
      </c>
      <c r="F172">
        <v>7964</v>
      </c>
      <c r="G172" s="1">
        <f t="shared" ref="G172:G191" si="16">E172/F172</f>
        <v>0.12719738824711199</v>
      </c>
      <c r="H172" s="1" t="str">
        <f t="shared" si="15"/>
        <v>501+01</v>
      </c>
    </row>
    <row r="173" spans="1:8" x14ac:dyDescent="0.45">
      <c r="A173" t="str">
        <f t="shared" si="13"/>
        <v>501+</v>
      </c>
      <c r="B173">
        <f t="shared" si="14"/>
        <v>2</v>
      </c>
      <c r="C173" t="s">
        <v>1</v>
      </c>
      <c r="D173">
        <v>2</v>
      </c>
      <c r="E173">
        <v>587</v>
      </c>
      <c r="F173">
        <v>7791</v>
      </c>
      <c r="G173" s="1">
        <f t="shared" si="16"/>
        <v>7.5343344885123856E-2</v>
      </c>
      <c r="H173" s="1" t="str">
        <f t="shared" si="15"/>
        <v>501+02</v>
      </c>
    </row>
    <row r="174" spans="1:8" x14ac:dyDescent="0.45">
      <c r="A174" t="str">
        <f t="shared" si="13"/>
        <v>501+</v>
      </c>
      <c r="B174">
        <f t="shared" si="14"/>
        <v>3</v>
      </c>
      <c r="C174" t="s">
        <v>1</v>
      </c>
      <c r="D174">
        <v>3</v>
      </c>
      <c r="E174">
        <v>346</v>
      </c>
      <c r="F174">
        <v>7753</v>
      </c>
      <c r="G174" s="1">
        <f t="shared" si="16"/>
        <v>4.4627885979620793E-2</v>
      </c>
      <c r="H174" s="1" t="str">
        <f t="shared" si="15"/>
        <v>501+03</v>
      </c>
    </row>
    <row r="175" spans="1:8" x14ac:dyDescent="0.45">
      <c r="A175" t="str">
        <f t="shared" si="13"/>
        <v>501+</v>
      </c>
      <c r="B175">
        <f t="shared" si="14"/>
        <v>4</v>
      </c>
      <c r="C175" t="s">
        <v>1</v>
      </c>
      <c r="D175">
        <v>4</v>
      </c>
      <c r="E175">
        <v>284</v>
      </c>
      <c r="F175">
        <v>7746</v>
      </c>
      <c r="G175" s="1">
        <f t="shared" si="16"/>
        <v>3.6664084688871675E-2</v>
      </c>
      <c r="H175" s="1" t="str">
        <f t="shared" si="15"/>
        <v>501+04</v>
      </c>
    </row>
    <row r="176" spans="1:8" x14ac:dyDescent="0.45">
      <c r="A176" t="str">
        <f t="shared" si="13"/>
        <v>501+</v>
      </c>
      <c r="B176">
        <f t="shared" si="14"/>
        <v>5</v>
      </c>
      <c r="C176" t="s">
        <v>1</v>
      </c>
      <c r="D176">
        <v>5</v>
      </c>
      <c r="E176">
        <v>157</v>
      </c>
      <c r="F176">
        <v>7657</v>
      </c>
      <c r="G176" s="1">
        <f t="shared" si="16"/>
        <v>2.0504113882721692E-2</v>
      </c>
      <c r="H176" s="1" t="str">
        <f t="shared" si="15"/>
        <v>501+05</v>
      </c>
    </row>
    <row r="177" spans="1:8" x14ac:dyDescent="0.45">
      <c r="A177" t="str">
        <f t="shared" si="13"/>
        <v>501+</v>
      </c>
      <c r="B177">
        <f t="shared" si="14"/>
        <v>6</v>
      </c>
      <c r="C177" t="s">
        <v>1</v>
      </c>
      <c r="D177">
        <v>6</v>
      </c>
      <c r="E177">
        <v>183</v>
      </c>
      <c r="F177">
        <v>7505</v>
      </c>
      <c r="G177" s="1">
        <f t="shared" si="16"/>
        <v>2.4383744170552963E-2</v>
      </c>
      <c r="H177" s="1" t="str">
        <f t="shared" si="15"/>
        <v>501+06</v>
      </c>
    </row>
    <row r="178" spans="1:8" x14ac:dyDescent="0.45">
      <c r="A178" t="str">
        <f t="shared" si="13"/>
        <v>501+</v>
      </c>
      <c r="B178">
        <f t="shared" si="14"/>
        <v>7</v>
      </c>
      <c r="C178" t="s">
        <v>1</v>
      </c>
      <c r="D178">
        <v>7</v>
      </c>
      <c r="E178">
        <v>105</v>
      </c>
      <c r="F178">
        <v>7494</v>
      </c>
      <c r="G178" s="1">
        <f t="shared" si="16"/>
        <v>1.4011208967173739E-2</v>
      </c>
      <c r="H178" s="1" t="str">
        <f t="shared" si="15"/>
        <v>501+07</v>
      </c>
    </row>
    <row r="179" spans="1:8" x14ac:dyDescent="0.45">
      <c r="A179" t="str">
        <f t="shared" si="13"/>
        <v>501+</v>
      </c>
      <c r="B179">
        <f t="shared" si="14"/>
        <v>8</v>
      </c>
      <c r="C179" t="s">
        <v>1</v>
      </c>
      <c r="D179">
        <v>8</v>
      </c>
      <c r="E179">
        <v>76</v>
      </c>
      <c r="F179">
        <v>7308</v>
      </c>
      <c r="G179" s="1">
        <f t="shared" si="16"/>
        <v>1.0399562123700055E-2</v>
      </c>
      <c r="H179" s="1" t="str">
        <f t="shared" si="15"/>
        <v>501+08</v>
      </c>
    </row>
    <row r="180" spans="1:8" x14ac:dyDescent="0.45">
      <c r="A180" t="str">
        <f t="shared" si="13"/>
        <v>501+</v>
      </c>
      <c r="B180">
        <f t="shared" si="14"/>
        <v>9</v>
      </c>
      <c r="C180" t="s">
        <v>1</v>
      </c>
      <c r="D180">
        <v>9</v>
      </c>
      <c r="E180">
        <v>47</v>
      </c>
      <c r="F180">
        <v>7117</v>
      </c>
      <c r="G180" s="1">
        <f t="shared" si="16"/>
        <v>6.6039061402276243E-3</v>
      </c>
      <c r="H180" s="1" t="str">
        <f t="shared" si="15"/>
        <v>501+09</v>
      </c>
    </row>
    <row r="181" spans="1:8" x14ac:dyDescent="0.45">
      <c r="A181" t="str">
        <f t="shared" si="13"/>
        <v>501+</v>
      </c>
      <c r="B181">
        <f t="shared" si="14"/>
        <v>10</v>
      </c>
      <c r="C181" t="s">
        <v>1</v>
      </c>
      <c r="D181">
        <v>10</v>
      </c>
      <c r="E181">
        <v>50</v>
      </c>
      <c r="F181">
        <v>6984</v>
      </c>
      <c r="G181" s="1">
        <f t="shared" si="16"/>
        <v>7.1592210767468497E-3</v>
      </c>
      <c r="H181" s="1" t="str">
        <f t="shared" si="15"/>
        <v>501+10</v>
      </c>
    </row>
    <row r="182" spans="1:8" x14ac:dyDescent="0.45">
      <c r="A182" t="str">
        <f t="shared" si="13"/>
        <v>501+</v>
      </c>
      <c r="B182">
        <f t="shared" si="14"/>
        <v>11</v>
      </c>
      <c r="C182" t="s">
        <v>1</v>
      </c>
      <c r="D182">
        <v>11</v>
      </c>
      <c r="E182">
        <v>48</v>
      </c>
      <c r="F182">
        <v>6840</v>
      </c>
      <c r="G182" s="1">
        <f t="shared" si="16"/>
        <v>7.0175438596491229E-3</v>
      </c>
      <c r="H182" s="1" t="str">
        <f t="shared" si="15"/>
        <v>501+11</v>
      </c>
    </row>
    <row r="183" spans="1:8" x14ac:dyDescent="0.45">
      <c r="A183" t="str">
        <f t="shared" si="13"/>
        <v>501+</v>
      </c>
      <c r="B183">
        <f t="shared" si="14"/>
        <v>12</v>
      </c>
      <c r="C183" t="s">
        <v>1</v>
      </c>
      <c r="D183">
        <v>12</v>
      </c>
      <c r="E183">
        <v>29</v>
      </c>
      <c r="F183">
        <v>6733</v>
      </c>
      <c r="G183" s="1">
        <f t="shared" si="16"/>
        <v>4.3071439180157435E-3</v>
      </c>
      <c r="H183" s="1" t="str">
        <f t="shared" si="15"/>
        <v>501+12</v>
      </c>
    </row>
    <row r="184" spans="1:8" x14ac:dyDescent="0.45">
      <c r="A184" t="str">
        <f t="shared" si="13"/>
        <v>501+</v>
      </c>
      <c r="B184">
        <f t="shared" si="14"/>
        <v>13</v>
      </c>
      <c r="C184" t="s">
        <v>1</v>
      </c>
      <c r="D184">
        <v>13</v>
      </c>
      <c r="E184">
        <v>25</v>
      </c>
      <c r="F184">
        <v>6548</v>
      </c>
      <c r="G184" s="1">
        <f t="shared" si="16"/>
        <v>3.8179596823457542E-3</v>
      </c>
      <c r="H184" s="1" t="str">
        <f t="shared" si="15"/>
        <v>501+13</v>
      </c>
    </row>
    <row r="185" spans="1:8" x14ac:dyDescent="0.45">
      <c r="A185" t="str">
        <f t="shared" si="13"/>
        <v>501+</v>
      </c>
      <c r="B185">
        <f t="shared" si="14"/>
        <v>14</v>
      </c>
      <c r="C185" t="s">
        <v>1</v>
      </c>
      <c r="D185">
        <v>14</v>
      </c>
      <c r="E185">
        <v>23</v>
      </c>
      <c r="F185">
        <v>6400</v>
      </c>
      <c r="G185" s="1">
        <f t="shared" si="16"/>
        <v>3.5937500000000002E-3</v>
      </c>
      <c r="H185" s="1" t="str">
        <f t="shared" si="15"/>
        <v>501+14</v>
      </c>
    </row>
    <row r="186" spans="1:8" x14ac:dyDescent="0.45">
      <c r="A186" t="str">
        <f t="shared" si="13"/>
        <v>501+</v>
      </c>
      <c r="B186">
        <f t="shared" si="14"/>
        <v>15</v>
      </c>
      <c r="C186" t="s">
        <v>1</v>
      </c>
      <c r="D186">
        <v>15</v>
      </c>
      <c r="E186">
        <v>21</v>
      </c>
      <c r="F186">
        <v>6214</v>
      </c>
      <c r="G186" s="1">
        <f t="shared" si="16"/>
        <v>3.3794657225619568E-3</v>
      </c>
      <c r="H186" s="1" t="str">
        <f t="shared" si="15"/>
        <v>501+15</v>
      </c>
    </row>
    <row r="187" spans="1:8" x14ac:dyDescent="0.45">
      <c r="A187" t="str">
        <f t="shared" si="13"/>
        <v>501+</v>
      </c>
      <c r="B187">
        <f t="shared" si="14"/>
        <v>16</v>
      </c>
      <c r="C187" t="s">
        <v>1</v>
      </c>
      <c r="D187">
        <v>16</v>
      </c>
      <c r="E187">
        <v>22</v>
      </c>
      <c r="F187">
        <v>6138</v>
      </c>
      <c r="G187" s="1">
        <f t="shared" si="16"/>
        <v>3.5842293906810036E-3</v>
      </c>
      <c r="H187" s="1" t="str">
        <f t="shared" si="15"/>
        <v>501+16</v>
      </c>
    </row>
    <row r="188" spans="1:8" x14ac:dyDescent="0.45">
      <c r="A188" t="str">
        <f t="shared" si="13"/>
        <v>501+</v>
      </c>
      <c r="B188">
        <f t="shared" si="14"/>
        <v>17</v>
      </c>
      <c r="C188" t="s">
        <v>1</v>
      </c>
      <c r="D188">
        <v>17</v>
      </c>
      <c r="E188">
        <v>16</v>
      </c>
      <c r="F188">
        <v>6013</v>
      </c>
      <c r="G188" s="1">
        <f t="shared" si="16"/>
        <v>2.660901380342591E-3</v>
      </c>
      <c r="H188" s="1" t="str">
        <f t="shared" si="15"/>
        <v>501+17</v>
      </c>
    </row>
    <row r="189" spans="1:8" x14ac:dyDescent="0.45">
      <c r="A189" t="str">
        <f t="shared" si="13"/>
        <v>501+</v>
      </c>
      <c r="B189">
        <f t="shared" si="14"/>
        <v>18</v>
      </c>
      <c r="C189" t="s">
        <v>1</v>
      </c>
      <c r="D189">
        <v>18</v>
      </c>
      <c r="E189">
        <v>12</v>
      </c>
      <c r="F189">
        <v>5880</v>
      </c>
      <c r="G189" s="1">
        <f t="shared" si="16"/>
        <v>2.0408163265306124E-3</v>
      </c>
      <c r="H189" s="1" t="str">
        <f t="shared" si="15"/>
        <v>501+18</v>
      </c>
    </row>
    <row r="190" spans="1:8" x14ac:dyDescent="0.45">
      <c r="A190" t="str">
        <f t="shared" si="13"/>
        <v>501+</v>
      </c>
      <c r="B190">
        <f t="shared" si="14"/>
        <v>19</v>
      </c>
      <c r="C190" t="s">
        <v>1</v>
      </c>
      <c r="D190">
        <v>19</v>
      </c>
      <c r="E190">
        <v>16</v>
      </c>
      <c r="F190">
        <v>5708</v>
      </c>
      <c r="G190" s="1">
        <f t="shared" si="16"/>
        <v>2.8030833917309038E-3</v>
      </c>
      <c r="H190" s="1" t="str">
        <f t="shared" si="15"/>
        <v>501+19</v>
      </c>
    </row>
    <row r="191" spans="1:8" x14ac:dyDescent="0.45">
      <c r="A191" t="str">
        <f t="shared" si="13"/>
        <v>501+</v>
      </c>
      <c r="B191" t="str">
        <f t="shared" si="14"/>
        <v>20+</v>
      </c>
      <c r="C191" t="s">
        <v>1</v>
      </c>
      <c r="D191">
        <v>99</v>
      </c>
      <c r="E191">
        <v>183</v>
      </c>
      <c r="F191">
        <v>30554</v>
      </c>
      <c r="G191" s="1">
        <f t="shared" si="16"/>
        <v>5.9893958237873931E-3</v>
      </c>
      <c r="H191" s="1" t="str">
        <f t="shared" si="15"/>
        <v>501+20+</v>
      </c>
    </row>
    <row r="192" spans="1:8" x14ac:dyDescent="0.45">
      <c r="C192" s="6"/>
      <c r="D192" s="6"/>
      <c r="E192" s="6"/>
      <c r="F192" s="6"/>
      <c r="G192" s="7"/>
      <c r="H192" s="7"/>
    </row>
  </sheetData>
  <pageMargins left="0.7" right="0.7" top="0.75" bottom="0.75" header="0.3" footer="0.3"/>
  <pageSetup paperSize="9" orientation="portrait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Analysis</vt:lpstr>
      <vt:lpstr>Baseline</vt:lpstr>
      <vt:lpstr>Gamed Scenario 1</vt:lpstr>
      <vt:lpstr>Gamed Scenario 2</vt:lpstr>
      <vt:lpstr>Gamed Scenario 3</vt:lpstr>
      <vt:lpstr>Gamed Scenario 4</vt:lpstr>
      <vt:lpstr>Gamed Scenario 5</vt:lpstr>
      <vt:lpstr>App-Click Conversion by 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Boundy</dc:creator>
  <cp:lastModifiedBy>Caterina De Nardi</cp:lastModifiedBy>
  <dcterms:created xsi:type="dcterms:W3CDTF">2021-10-25T09:51:38Z</dcterms:created>
  <dcterms:modified xsi:type="dcterms:W3CDTF">2022-04-28T22:48:55Z</dcterms:modified>
</cp:coreProperties>
</file>